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20" windowHeight="10420" tabRatio="732" firstSheet="2"/>
  </bookViews>
  <sheets>
    <sheet name="问题记录" sheetId="18" r:id="rId1"/>
    <sheet name="建模总结" sheetId="16" r:id="rId2"/>
    <sheet name="术语" sheetId="1" r:id="rId3"/>
    <sheet name="业务规则" sheetId="2" r:id="rId4"/>
    <sheet name="业务对象（对象类型）" sheetId="4" r:id="rId5"/>
    <sheet name="业务属性（属性）" sheetId="6" r:id="rId6"/>
    <sheet name="实体关系(链接类型)" sheetId="7" r:id="rId7"/>
    <sheet name="活动" sheetId="3" r:id="rId8"/>
    <sheet name="行动类型" sheetId="14" r:id="rId9"/>
    <sheet name="指标" sheetId="10" r:id="rId10"/>
    <sheet name="维度" sheetId="13" r:id="rId11"/>
    <sheet name="指标维度矩阵" sheetId="11" r:id="rId12"/>
  </sheets>
  <definedNames>
    <definedName name="_xlnm._FilterDatabase" localSheetId="2" hidden="1">术语!$A$2:$G$42</definedName>
    <definedName name="_xlnm._FilterDatabase" localSheetId="3" hidden="1">业务规则!$A$2:$G$36</definedName>
    <definedName name="_xlnm._FilterDatabase" localSheetId="4" hidden="1">'业务对象（对象类型）'!$A$2:$G$34</definedName>
    <definedName name="_xlnm._FilterDatabase" localSheetId="5" hidden="1">'业务属性（属性）'!$B$2:$L$70</definedName>
    <definedName name="_xlnm._FilterDatabase" localSheetId="6" hidden="1">'实体关系(链接类型)'!$A$2:$J$12</definedName>
    <definedName name="_xlnm._FilterDatabase" localSheetId="7" hidden="1">活动!$A$2:$G$15</definedName>
    <definedName name="_xlnm._FilterDatabase" localSheetId="9" hidden="1">指标!$A$2:$Q$10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<sst xmlns="http://schemas.openxmlformats.org/spreadsheetml/2006/main" count="1457" uniqueCount="696">
  <si>
    <t>序号</t>
  </si>
  <si>
    <t>问题</t>
  </si>
  <si>
    <t>问题描述</t>
  </si>
  <si>
    <t>问题类型</t>
  </si>
  <si>
    <t>建议策略</t>
  </si>
  <si>
    <t>状态</t>
  </si>
  <si>
    <t>备注</t>
  </si>
  <si>
    <t>Object type覆盖不全</t>
  </si>
  <si>
    <t>Object type对应到EAM的业务对象，存在基础数据、报告数据不能识别为业务对象，无法映射到Object type；</t>
  </si>
  <si>
    <t>本体元素映射问题</t>
  </si>
  <si>
    <t>---基础数据对标采用palantir的shareproperty来管理，但如何实现，还需要验证；
--报告数据：暂定为Object type</t>
  </si>
  <si>
    <t>验证中</t>
  </si>
  <si>
    <t xml:space="preserve">非主逻辑实体的映射 </t>
  </si>
  <si>
    <t>Ontology的元模型中，没有EAM逻辑实体对应的本体元素，如果采用Object typ-Property的两层结构，业务对象中的非主逻辑实体（比如合同的付款条款），需要先将其映射为一个ObjectType类型的属性，然后再展开分解里面的属性。</t>
  </si>
  <si>
    <t>非主逻辑实体（比如合同的付款条款），需要先将其映射为一个ObjectType类型的属性，然后再展开分解里面的属性。</t>
  </si>
  <si>
    <t>识别业务流程不准确</t>
  </si>
  <si>
    <t>如果不是业务专家，从数据库识别业务流程，输入源有限，识别结果不准确、不完整。</t>
  </si>
  <si>
    <t>建模质量问题</t>
  </si>
  <si>
    <t>1、承接企业架构的规划设计成果；
2、除了数据库相关内容外，需要补充输入源
3、有业务专家参与</t>
  </si>
  <si>
    <t>识别业务规则不完整、准确</t>
  </si>
  <si>
    <t>如果不是业务专家，从数据库识别业务规则，输入源有限，识别结果不准确、不完整。</t>
  </si>
  <si>
    <t xml:space="preserve">1、对规则进行分类，比如对数据的约束，如编码规则、唯一性、空缺值等约束规则，可以从数据库识别，固化即可；
</t>
  </si>
  <si>
    <t>指标识别不全</t>
  </si>
  <si>
    <t>建模人员可以基于数据库，识别一些简单的原子指标，但对指标的统计口径（统计范围），很难做精准的业务定义，依赖于业务架构的定义。</t>
  </si>
  <si>
    <t>1、承接企业架构的指标设计成果；
2、基于业务统计分析的需求，梳理提炼指标，补充完善指标定义；
3、有业务专家参与定义指标</t>
  </si>
  <si>
    <t>行动类型识别不完整</t>
  </si>
  <si>
    <t>可以基于数据库表结构、已经数据库的样本数据、状态值等输入，识别一些行动类型（对数据的操作），但识别结果不完整、对行动类型的业务涵义定义也不精准。</t>
  </si>
  <si>
    <t>本体元素</t>
  </si>
  <si>
    <t>人工建模过程</t>
  </si>
  <si>
    <t>建模难点</t>
  </si>
  <si>
    <t>能否基于IT系统产出</t>
  </si>
  <si>
    <t>输入内容</t>
  </si>
  <si>
    <t>输入物价值</t>
  </si>
  <si>
    <t>对象类型</t>
  </si>
  <si>
    <t>基于输入的数据库表结构或者数据模型、字典，按照业务对象的识别原则，进行识别，并且进行定义</t>
  </si>
  <si>
    <t>1、如果给出的数据库表缺少表名、字段名注释，很多理解其含义和用途，识别不准确；
2、如果数据库表做了冗余、多表合并，需要做拆分提炼对象类型（如果拆分出库单、入库单、调拨单）；
3、建模人员需要掌握一定的业务领域知识</t>
  </si>
  <si>
    <t>可以</t>
  </si>
  <si>
    <t>数据模型</t>
  </si>
  <si>
    <t>高</t>
  </si>
  <si>
    <t>EAM的数据模型，价值最高，可以直接转换为本体模型</t>
  </si>
  <si>
    <t>数据字典</t>
  </si>
  <si>
    <t>源系统提供的数据字典，可读性好，但还需要提炼、建模</t>
  </si>
  <si>
    <t>数据库表结构</t>
  </si>
  <si>
    <t>中</t>
  </si>
  <si>
    <t>数据库表结构，通常还需要补充注释、业务解读，才能提炼、建模</t>
  </si>
  <si>
    <t>链接类型</t>
  </si>
  <si>
    <t>基于识别的对象类型、输入的数据库表关系（或者逻辑实体关系），识别链接类型</t>
  </si>
  <si>
    <t>1、数据库表里面没有建立主外键关系；
2、数据模型中的ER关系，不能显式的表达业务行为关系（比如合同“约定”付款条款）
3、识别的链接类型不完整；
4、建模人员需要掌握一定的业务领域知识</t>
  </si>
  <si>
    <t>属性</t>
  </si>
  <si>
    <t>基于识别的对象类型、链接类型，以及数据字典/数据库表/数据模型结构，细化、识别、定义属性</t>
  </si>
  <si>
    <t>1、如果给出的数据库表缺少表名、字段名注释，很多理解其含义和用途，识别不准确；
2、同一个属性（比如客户编码），在多个数据表中，名称、类型、长度、解释都不统一，导致属性定义时不知以谁为准。</t>
  </si>
  <si>
    <t>术语</t>
  </si>
  <si>
    <t>1、基于业务领域和范围，识别重要术语，进行定义；
2、基于后续的Ontology模型中涉及到的术语，补充进行定义；</t>
  </si>
  <si>
    <t>1、对术语的定义，需要有丰富业务领域经验，否则定义的术语不精准；
2、业务领域内的术语条目很多，需要进行粪门别类的管理，需要设计分类标准；</t>
  </si>
  <si>
    <t>源系统提供的数据字典，涉及到的业务术语名称可能不规范、术语解释不完整，需要从业务视角进行标准化、完善</t>
  </si>
  <si>
    <t>数据库表结构，通常还需要术语名称标准化、补充注释、业务解读，才能提炼、建模</t>
  </si>
  <si>
    <t>业务规则</t>
  </si>
  <si>
    <t>业务流程</t>
  </si>
  <si>
    <t>行动类型</t>
  </si>
  <si>
    <t>指标</t>
  </si>
  <si>
    <t>维度</t>
  </si>
  <si>
    <t>能通过业务对象、属性、指标的定义，识别业务术语</t>
  </si>
  <si>
    <t>术语编码</t>
  </si>
  <si>
    <t>术语名称</t>
  </si>
  <si>
    <t>别名</t>
  </si>
  <si>
    <t>英文名</t>
  </si>
  <si>
    <t>术语定义</t>
  </si>
  <si>
    <t>术语分类</t>
  </si>
  <si>
    <t>解释部门</t>
  </si>
  <si>
    <t>来源、输入</t>
  </si>
  <si>
    <t>打分</t>
  </si>
  <si>
    <t>客户</t>
  </si>
  <si>
    <t>购买企业产品、服务或与企业发生交易往来，接受企业交付成果的个人、企业或其他法人实体，是企业销售业务的核心对象。</t>
  </si>
  <si>
    <t>供应商</t>
  </si>
  <si>
    <t>为企业提供物料、商品、服务或资源，与企业存在采购合作关系的外部法人、组织或个人，是企业供应链上游的核心主体。</t>
  </si>
  <si>
    <t>物料</t>
  </si>
  <si>
    <t>企业在生产、经营、库存管理中涉及的原材料、半成品、成品、备品备件、辅助材料等可计量、可管理的物品统称。</t>
  </si>
  <si>
    <t>产品线</t>
  </si>
  <si>
    <t>由一组功能相近、面向同类市场、满足同类需求、可归为一类管理的产品所构成的产品集合，用于产品分类与业务规划。</t>
  </si>
  <si>
    <t>组织</t>
  </si>
  <si>
    <t>企业内部承担特定职能、具备管理边界的机构单元，包含公司、部门、事业部、分厂、门店等，是权责与业务执行的载体。</t>
  </si>
  <si>
    <t>采购订单</t>
  </si>
  <si>
    <t>企业向供应商发起采购需求时生成的正式单据，明确物料、数量、价格、交货期、交付方式等采购约定，是采购执行的依据。</t>
  </si>
  <si>
    <t>销售订单</t>
  </si>
  <si>
    <t>企业与客户达成销售意向后生成的业务单据，记录产品、数量、价格、交货信息、结算方式等交易约定，是销售履约的依据。</t>
  </si>
  <si>
    <t>仓库</t>
  </si>
  <si>
    <t>企业用于存放、保管、收发物料与成品的物理或逻辑存储空间，具备库位、库存、出入库管理能力，是仓储管理核心对象。</t>
  </si>
  <si>
    <t>入库单</t>
  </si>
  <si>
    <t>记录物料、成品等物资进入仓库的明细单据，包含来源、品类、数量、仓库、经办人等信息，是库存增加的凭证。</t>
  </si>
  <si>
    <t>出库单</t>
  </si>
  <si>
    <t>记录物料、成品等物资从仓库发出的明细单据，包含去向、品类、数量、仓库、用途等信息，是库存减少的凭证。</t>
  </si>
  <si>
    <t>建模问题：在IT系统的数据库，数据规则很隐式，虽然可以通过建模人员的业务领域经验做识别，很难识别准确、完整。</t>
  </si>
  <si>
    <t>规则编号</t>
  </si>
  <si>
    <t>规则名称</t>
  </si>
  <si>
    <t>规则描述</t>
  </si>
  <si>
    <t>所属活动编号</t>
  </si>
  <si>
    <t>活动名称</t>
  </si>
  <si>
    <t>规则分类</t>
  </si>
  <si>
    <t>R001</t>
  </si>
  <si>
    <t>采购需求合规性审核规则</t>
  </si>
  <si>
    <t>需求部门提报采购需求后，需经财务部（预算匹配性）、业务主管部门（需求必要性）双维度审核通过，方可进入采购寻源环节</t>
  </si>
  <si>
    <t>需求审核</t>
  </si>
  <si>
    <t>流程控制</t>
  </si>
  <si>
    <t>采购部</t>
  </si>
  <si>
    <t>R002</t>
  </si>
  <si>
    <t>供应商资质准入规则</t>
  </si>
  <si>
    <t>新供应商准入需提供营业执照、行业资质证书、税务登记证明等材料，通过资质完整性+合规性评分（满分100分，≥80分准入）</t>
  </si>
  <si>
    <t>资质审核</t>
  </si>
  <si>
    <t>准入控制</t>
  </si>
  <si>
    <t>R003</t>
  </si>
  <si>
    <t>采购合同金额分级审核规则</t>
  </si>
  <si>
    <t>采购合同金额＜50万元时，由采购部负责人+法务专员双签；≥50万元时，需追加总经理终审，重点审核付款条款、违约责任等核心内容</t>
  </si>
  <si>
    <t>合同签署</t>
  </si>
  <si>
    <t>风险控制</t>
  </si>
  <si>
    <t>法务部</t>
  </si>
  <si>
    <t>R004</t>
  </si>
  <si>
    <t>到货验收异常处置规则</t>
  </si>
  <si>
    <t>货物到货后，若出现数量短缺（偏差＞5%）、规格不符（与订单技术参数不一致）、质检不合格（无合格报告/报告结论不合格），仓库有权拒收并触发退换货流程</t>
  </si>
  <si>
    <t>到货检验</t>
  </si>
  <si>
    <t>质量管控</t>
  </si>
  <si>
    <t>质检部</t>
  </si>
  <si>
    <t>R005</t>
  </si>
  <si>
    <t>入库单据匹配规则</t>
  </si>
  <si>
    <t>物资办理入库时，需同步核对采购订单（订单号、物料编码）、供应商送货单（送货数量、批次）、质检报告（合格标识），三单信息完全一致方可完成系统入库</t>
  </si>
  <si>
    <t>单据核对</t>
  </si>
  <si>
    <t>仓库部</t>
  </si>
  <si>
    <t>R006</t>
  </si>
  <si>
    <t>危险化学品存储规则</t>
  </si>
  <si>
    <t>易燃易爆、有毒有害类危险化学品，必须存储于防爆/防腐专用仓库，与普通物资库间距≥10米，且执行“双人双锁+每日巡检”管理机制</t>
  </si>
  <si>
    <t>库区规划</t>
  </si>
  <si>
    <t>安全管控</t>
  </si>
  <si>
    <t>仓储部</t>
  </si>
  <si>
    <t>R007</t>
  </si>
  <si>
    <t>贵重物资出库审批规则</t>
  </si>
  <si>
    <t>单价≥1万元的贵重物资（如精密仪器、高端原材料），领用时除常规《领料单》外，需附加部门总监审批单+《使用用途说明》，仓库核验后方可出库</t>
  </si>
  <si>
    <t>出库审批</t>
  </si>
  <si>
    <t>权限控制</t>
  </si>
  <si>
    <t>R008</t>
  </si>
  <si>
    <t>月度盘点差异追溯规则</t>
  </si>
  <si>
    <t>每月末盘点中，若某类物资账面数与实盘数差异率绝对值＞1%（差异率=账面数 - 实盘数÷账面数×100%），需在3个工作日内提交《差异分析报告》，明确责任环节及整改措施</t>
  </si>
  <si>
    <t>盘点分析</t>
  </si>
  <si>
    <r>
      <rPr>
        <sz val="11"/>
        <color rgb="FFC00000"/>
        <rFont val="宋体"/>
        <charset val="134"/>
      </rPr>
      <t>建模问题：基础数据、</t>
    </r>
    <r>
      <rPr>
        <b/>
        <sz val="11"/>
        <color rgb="FFC00000"/>
        <rFont val="宋体"/>
        <charset val="134"/>
      </rPr>
      <t>报告数据</t>
    </r>
    <r>
      <rPr>
        <sz val="11"/>
        <color rgb="FFC00000"/>
        <rFont val="宋体"/>
        <charset val="134"/>
      </rPr>
      <t>不能识别为业务对象，无法映射到Object type</t>
    </r>
  </si>
  <si>
    <t>业务对象编号</t>
  </si>
  <si>
    <t>业务对象名称</t>
  </si>
  <si>
    <t>业务对象英文名</t>
  </si>
  <si>
    <t>业务对象定义</t>
  </si>
  <si>
    <t>业务对象类型</t>
  </si>
  <si>
    <t>关联物理表</t>
  </si>
  <si>
    <t>BO0001</t>
  </si>
  <si>
    <t>T_BD_Customer,T_BD_CustomerOrg</t>
  </si>
  <si>
    <t>BO0002</t>
  </si>
  <si>
    <t>T_BD_Supplier</t>
  </si>
  <si>
    <t>BO0003</t>
  </si>
  <si>
    <t>T_BD_Material,T_BD_MaterialOrg</t>
  </si>
  <si>
    <t>BO0004</t>
  </si>
  <si>
    <t>T_BD_ProductLine</t>
  </si>
  <si>
    <t>BO0005</t>
  </si>
  <si>
    <t>T_ORG_Organizations</t>
  </si>
  <si>
    <t>BO0006</t>
  </si>
  <si>
    <t>T_PUR_POOrder，T_PUR_POOrderEntry</t>
  </si>
  <si>
    <t>BO0007</t>
  </si>
  <si>
    <t>T_SAL_Order，T_PUR_POOrderEntry</t>
  </si>
  <si>
    <t>BO0008</t>
  </si>
  <si>
    <t>T_STK_Inventory</t>
  </si>
  <si>
    <t>BO0009</t>
  </si>
  <si>
    <t>T_STK_InvMovement</t>
  </si>
  <si>
    <t>BO0010</t>
  </si>
  <si>
    <t>BO0011</t>
  </si>
  <si>
    <t>库存快照</t>
  </si>
  <si>
    <t>按期间和物料的库存结存情况,含数量、金额、批次、最早入库日期</t>
  </si>
  <si>
    <t>BO0012</t>
  </si>
  <si>
    <t>库存风险物料预警</t>
  </si>
  <si>
    <t>呆滞库存、不良品库存和待退仓的预警数据</t>
  </si>
  <si>
    <t>T_STK_SlowMoving</t>
  </si>
  <si>
    <t>BO0013</t>
  </si>
  <si>
    <t>安全库存预警</t>
  </si>
  <si>
    <t>按物料输出即将低于安全库存及已经低于安全库存的物料清单</t>
  </si>
  <si>
    <t>BO0014</t>
  </si>
  <si>
    <t>应收单</t>
  </si>
  <si>
    <t>因销售而应向客户收取的款项,含开票金额、已收款、票据金额、逾期天数</t>
  </si>
  <si>
    <t>T_AR_Receivable</t>
  </si>
  <si>
    <t>BO0015</t>
  </si>
  <si>
    <t>应付单</t>
  </si>
  <si>
    <t>应付单据,含供应商、金额、公共标识</t>
  </si>
  <si>
    <t>T_AP_Payable</t>
  </si>
  <si>
    <t>BO0016</t>
  </si>
  <si>
    <t>会计科目</t>
  </si>
  <si>
    <t>科目主数据,同时具有财务分类和管报分类</t>
  </si>
  <si>
    <t>T_BD_Account</t>
  </si>
  <si>
    <t>BO0017</t>
  </si>
  <si>
    <t>会计期间</t>
  </si>
  <si>
    <t>期间主数据,含年月和关账标识</t>
  </si>
  <si>
    <t>T_BD_Period</t>
  </si>
  <si>
    <t>BO0018</t>
  </si>
  <si>
    <t>分摊规则</t>
  </si>
  <si>
    <t>费用和收入分摊的规则引擎,含门槛值和回退机制</t>
  </si>
  <si>
    <t>T_FM_AllocRule</t>
  </si>
  <si>
    <t>BO0019</t>
  </si>
  <si>
    <t>预算</t>
  </si>
  <si>
    <t>按期间/组织/科目编制的预算金额,支持多版本</t>
  </si>
  <si>
    <t>T_FM_Budget</t>
  </si>
  <si>
    <t>BO0020</t>
  </si>
  <si>
    <t>滚动预测</t>
  </si>
  <si>
    <t>N+3滚动预测数据,按轮次存储,来源CRM/模板/人工</t>
  </si>
  <si>
    <t>T_FM_Forecast</t>
  </si>
  <si>
    <t>BO0021</t>
  </si>
  <si>
    <t>现金流量表</t>
  </si>
  <si>
    <t>按事业部的经营现金流数据,含收款、付款、费用、折摊</t>
  </si>
  <si>
    <t>T_FM_CashFlow</t>
  </si>
  <si>
    <t>BO0022</t>
  </si>
  <si>
    <t>总账余额</t>
  </si>
  <si>
    <t>对接金蝶总账的科目余额数据,按期间/科目/组织存储借贷金额</t>
  </si>
  <si>
    <t>T_GL_Balance</t>
  </si>
  <si>
    <t>建模问题：业务对象中的非主逻辑实体，需要先将其映射为一个ObjectType类型的属性，然后再展开分解里面的属性。</t>
  </si>
  <si>
    <t>逻辑实体编号</t>
  </si>
  <si>
    <t>逻辑实体名称</t>
  </si>
  <si>
    <t>逻辑实体英文名</t>
  </si>
  <si>
    <t>业务属性编号</t>
  </si>
  <si>
    <t>业务属性名称</t>
  </si>
  <si>
    <t>属性英文名</t>
  </si>
  <si>
    <t>业务属性定义</t>
  </si>
  <si>
    <t>数据类型</t>
  </si>
  <si>
    <t>是否主键</t>
  </si>
  <si>
    <t>来源表名</t>
  </si>
  <si>
    <t>来源字段</t>
  </si>
  <si>
    <t>BO005</t>
  </si>
  <si>
    <t>LE00001</t>
  </si>
  <si>
    <t>organization</t>
  </si>
  <si>
    <t>AT00001</t>
  </si>
  <si>
    <t>组织内码</t>
  </si>
  <si>
    <t>OrgId</t>
  </si>
  <si>
    <t>组织唯一标识(GUID)</t>
  </si>
  <si>
    <t>NVARCHAR(36)</t>
  </si>
  <si>
    <t>Yes</t>
  </si>
  <si>
    <t>FOrgId</t>
  </si>
  <si>
    <t>AT00002</t>
  </si>
  <si>
    <t>组织编码</t>
  </si>
  <si>
    <t>OrgNumber</t>
  </si>
  <si>
    <t>业务可读的组织编码</t>
  </si>
  <si>
    <t>No</t>
  </si>
  <si>
    <t>FOrgNumber</t>
  </si>
  <si>
    <t>AT00003</t>
  </si>
  <si>
    <t>组织名称</t>
  </si>
  <si>
    <t>OrgName</t>
  </si>
  <si>
    <t>NVARCHAR(100)</t>
  </si>
  <si>
    <t>FOrgName</t>
  </si>
  <si>
    <t>AT00004</t>
  </si>
  <si>
    <t>组织类型</t>
  </si>
  <si>
    <t>OrgType</t>
  </si>
  <si>
    <t>类型(BU/分公司/合并主体)</t>
  </si>
  <si>
    <t>NVARCHAR(20)</t>
  </si>
  <si>
    <t>FOrgType</t>
  </si>
  <si>
    <t>AT00005</t>
  </si>
  <si>
    <t>上级组织</t>
  </si>
  <si>
    <t>ParentOrgId</t>
  </si>
  <si>
    <t>上级组织ID,支持多级</t>
  </si>
  <si>
    <t>FParentOrgId</t>
  </si>
  <si>
    <t>AT00006</t>
  </si>
  <si>
    <t>是否启用</t>
  </si>
  <si>
    <t>IsActive</t>
  </si>
  <si>
    <t>是否启用 Y/N</t>
  </si>
  <si>
    <t>CHAR(1)</t>
  </si>
  <si>
    <t>FIsActive</t>
  </si>
  <si>
    <t>BO004</t>
  </si>
  <si>
    <t>LE00002</t>
  </si>
  <si>
    <t>product_line</t>
  </si>
  <si>
    <t>AT00007</t>
  </si>
  <si>
    <t>产品线内码</t>
  </si>
  <si>
    <t>ProductLineId</t>
  </si>
  <si>
    <t>产品线唯一标识</t>
  </si>
  <si>
    <t>FProductLineId</t>
  </si>
  <si>
    <t>AT00008</t>
  </si>
  <si>
    <t>产品线编码</t>
  </si>
  <si>
    <t>ProductLineNO</t>
  </si>
  <si>
    <t>NVARCHAR(30)</t>
  </si>
  <si>
    <t>FNumber</t>
  </si>
  <si>
    <t>AT00009</t>
  </si>
  <si>
    <t>产品线名称</t>
  </si>
  <si>
    <t>ProductLineName</t>
  </si>
  <si>
    <t>FName</t>
  </si>
  <si>
    <t>AT00010</t>
  </si>
  <si>
    <t>所属事业部</t>
  </si>
  <si>
    <t>所属事业部组织ID</t>
  </si>
  <si>
    <t>BO003</t>
  </si>
  <si>
    <t>LE00003</t>
  </si>
  <si>
    <t>material</t>
  </si>
  <si>
    <t>AT00011</t>
  </si>
  <si>
    <t>物料内码</t>
  </si>
  <si>
    <t>MaterialId</t>
  </si>
  <si>
    <t>物料唯一标识</t>
  </si>
  <si>
    <t>FMaterialId</t>
  </si>
  <si>
    <t>AT00012</t>
  </si>
  <si>
    <t>物料编码</t>
  </si>
  <si>
    <t>MaterialNO</t>
  </si>
  <si>
    <t>AT00013</t>
  </si>
  <si>
    <t>物料名称</t>
  </si>
  <si>
    <t>MaterialName</t>
  </si>
  <si>
    <t>NVARCHAR(200)</t>
  </si>
  <si>
    <t>AT00014</t>
  </si>
  <si>
    <t>物料类别</t>
  </si>
  <si>
    <t>Category</t>
  </si>
  <si>
    <t>物料类别(原料/半成品/成品/备品)</t>
  </si>
  <si>
    <t>NVARCHAR(50)</t>
  </si>
  <si>
    <t>FCategory</t>
  </si>
  <si>
    <t>AT00015</t>
  </si>
  <si>
    <t>是否公共物料</t>
  </si>
  <si>
    <t>IsPublic</t>
  </si>
  <si>
    <t>是否公共物料 Y/N(约50%需分摊)</t>
  </si>
  <si>
    <t>FIsPublic</t>
  </si>
  <si>
    <t>AT00016</t>
  </si>
  <si>
    <t>保质期天数</t>
  </si>
  <si>
    <t>ShelfLife</t>
  </si>
  <si>
    <t>保质期天数(用于不良品预警)</t>
  </si>
  <si>
    <t>INT</t>
  </si>
  <si>
    <t>FShelfLife</t>
  </si>
  <si>
    <t>AT00017</t>
  </si>
  <si>
    <t>标准成本</t>
  </si>
  <si>
    <t>StdCost</t>
  </si>
  <si>
    <t>DECIMAL(23,10)</t>
  </si>
  <si>
    <t>FStdCost</t>
  </si>
  <si>
    <t>AT00018</t>
  </si>
  <si>
    <t>质量状态</t>
  </si>
  <si>
    <t>QualityStatus</t>
  </si>
  <si>
    <t>质量状态(正常/不良/待检)</t>
  </si>
  <si>
    <t>FQualityStatus</t>
  </si>
  <si>
    <t>BO001</t>
  </si>
  <si>
    <t>LE00004</t>
  </si>
  <si>
    <t>customer</t>
  </si>
  <si>
    <t>AT00019</t>
  </si>
  <si>
    <t>客户内码</t>
  </si>
  <si>
    <t>CustomerId</t>
  </si>
  <si>
    <t>客户唯一标识</t>
  </si>
  <si>
    <t>FCustomerId</t>
  </si>
  <si>
    <t>AT00020</t>
  </si>
  <si>
    <t>客户编码</t>
  </si>
  <si>
    <t>CustomerNO</t>
  </si>
  <si>
    <t>AT00021</t>
  </si>
  <si>
    <t>客户名称</t>
  </si>
  <si>
    <t>CustomerName</t>
  </si>
  <si>
    <t>AT00022</t>
  </si>
  <si>
    <t>内外部标识</t>
  </si>
  <si>
    <t>InternalFlag</t>
  </si>
  <si>
    <t>内外部标识 I=内部/E=外部</t>
  </si>
  <si>
    <t>FInternalFlag</t>
  </si>
  <si>
    <t>AT00023</t>
  </si>
  <si>
    <t>客户分类</t>
  </si>
  <si>
    <t>CustomerType</t>
  </si>
  <si>
    <t>FCustomerType</t>
  </si>
  <si>
    <t>BO002</t>
  </si>
  <si>
    <t>LE00005</t>
  </si>
  <si>
    <t>supplier</t>
  </si>
  <si>
    <t>AT00024</t>
  </si>
  <si>
    <t>供应商内码</t>
  </si>
  <si>
    <t>SupplierId</t>
  </si>
  <si>
    <t>供应商唯一标识</t>
  </si>
  <si>
    <t>FSupplierId</t>
  </si>
  <si>
    <t>AT00025</t>
  </si>
  <si>
    <t>供应商编码</t>
  </si>
  <si>
    <t>SupplierNO</t>
  </si>
  <si>
    <t>AT00026</t>
  </si>
  <si>
    <t>供应商名称</t>
  </si>
  <si>
    <t>SupplierName</t>
  </si>
  <si>
    <t>AT00027</t>
  </si>
  <si>
    <t>账期天数</t>
  </si>
  <si>
    <t>PaymentTermDays</t>
  </si>
  <si>
    <t>账期天数(付款预测)</t>
  </si>
  <si>
    <t>FPaymentTermDays</t>
  </si>
  <si>
    <t>BO007</t>
  </si>
  <si>
    <t>LE00010</t>
  </si>
  <si>
    <t>sales_order</t>
  </si>
  <si>
    <t>AT00049</t>
  </si>
  <si>
    <t>单据内码</t>
  </si>
  <si>
    <t>BillId</t>
  </si>
  <si>
    <t>销售订单唯一标识</t>
  </si>
  <si>
    <t>FBillId</t>
  </si>
  <si>
    <t>AT00050</t>
  </si>
  <si>
    <t>单据编号</t>
  </si>
  <si>
    <t>BillNo</t>
  </si>
  <si>
    <t>FBillNo</t>
  </si>
  <si>
    <t>AT00051</t>
  </si>
  <si>
    <t>单据日期</t>
  </si>
  <si>
    <t>BillDate</t>
  </si>
  <si>
    <t>DATETIME</t>
  </si>
  <si>
    <t>FDate</t>
  </si>
  <si>
    <t>AT00052</t>
  </si>
  <si>
    <t>客户ID</t>
  </si>
  <si>
    <t>关联客户</t>
  </si>
  <si>
    <t>AT00053</t>
  </si>
  <si>
    <t>事业部ID</t>
  </si>
  <si>
    <t>销售组织/事业部</t>
  </si>
  <si>
    <t>单据状态</t>
  </si>
  <si>
    <t>DocumentStatus</t>
  </si>
  <si>
    <t>单据状态A/B/C</t>
  </si>
  <si>
    <t>FDocumentStatus</t>
  </si>
  <si>
    <t>销售订单分录</t>
  </si>
  <si>
    <t>SalesOrderItem</t>
  </si>
  <si>
    <t>销售订单下单明细项</t>
  </si>
  <si>
    <t>List</t>
  </si>
  <si>
    <t>sales_order_entry</t>
  </si>
  <si>
    <t>LE00011</t>
  </si>
  <si>
    <t>分录ID</t>
  </si>
  <si>
    <t>EntryId</t>
  </si>
  <si>
    <t>分录唯一标识</t>
  </si>
  <si>
    <t>FEntryId</t>
  </si>
  <si>
    <t>关联销售订单主表</t>
  </si>
  <si>
    <t>物料ID</t>
  </si>
  <si>
    <t>关联物料</t>
  </si>
  <si>
    <t>产品线ID</t>
  </si>
  <si>
    <t>关联产品线</t>
  </si>
  <si>
    <t>数量</t>
  </si>
  <si>
    <t>Qty</t>
  </si>
  <si>
    <t>销售数量</t>
  </si>
  <si>
    <t>FQty</t>
  </si>
  <si>
    <t>不含税金额</t>
  </si>
  <si>
    <t>Amount</t>
  </si>
  <si>
    <t>FAmount</t>
  </si>
  <si>
    <t>单体成本</t>
  </si>
  <si>
    <t>CostAmt</t>
  </si>
  <si>
    <t>FCostAmt</t>
  </si>
  <si>
    <t>合并成本</t>
  </si>
  <si>
    <t>ConsolCostAmt</t>
  </si>
  <si>
    <t>合并成本(抵消内部交易)</t>
  </si>
  <si>
    <t>FConsolCostAmt</t>
  </si>
  <si>
    <t>运费返修费调整</t>
  </si>
  <si>
    <t>ReturnFreightAdj</t>
  </si>
  <si>
    <t>运费/返修费成本调整</t>
  </si>
  <si>
    <t>FReturnFreightAdj</t>
  </si>
  <si>
    <t>BO006</t>
  </si>
  <si>
    <t>LE00012</t>
  </si>
  <si>
    <t>purchase_order</t>
  </si>
  <si>
    <t>采购订单唯一标识</t>
  </si>
  <si>
    <t>入库日期</t>
  </si>
  <si>
    <t>ReceiptDate</t>
  </si>
  <si>
    <t>FReceiptDate</t>
  </si>
  <si>
    <t>供应商ID</t>
  </si>
  <si>
    <t>关联供应商</t>
  </si>
  <si>
    <t>Status</t>
  </si>
  <si>
    <t>状态(已入库/待退仓/已退/部分退)</t>
  </si>
  <si>
    <t>FStatus</t>
  </si>
  <si>
    <t>采购订单分录</t>
  </si>
  <si>
    <t>PurchaseOrderItem</t>
  </si>
  <si>
    <t>ObjectType</t>
  </si>
  <si>
    <t>LE00013</t>
  </si>
  <si>
    <t>purchase_order_entry</t>
  </si>
  <si>
    <t>AT00054</t>
  </si>
  <si>
    <t>AT00055</t>
  </si>
  <si>
    <t>关联采购订单主表</t>
  </si>
  <si>
    <t>AT00056</t>
  </si>
  <si>
    <t>AT00057</t>
  </si>
  <si>
    <t>采购数量</t>
  </si>
  <si>
    <t>AT00058</t>
  </si>
  <si>
    <t>采购金额</t>
  </si>
  <si>
    <t>AT00059</t>
  </si>
  <si>
    <t>退仓截止日</t>
  </si>
  <si>
    <t>ReturnDeadline</t>
  </si>
  <si>
    <t>待退仓截止日(预警依据)</t>
  </si>
  <si>
    <t>FReturnDeadline</t>
  </si>
  <si>
    <t>BO009</t>
  </si>
  <si>
    <t>LE00017</t>
  </si>
  <si>
    <t>Warehousing_Order</t>
  </si>
  <si>
    <t>AT00060</t>
  </si>
  <si>
    <t>入库单ID</t>
  </si>
  <si>
    <t>MovId</t>
  </si>
  <si>
    <t>出入库唯一标识</t>
  </si>
  <si>
    <t>FMovId</t>
  </si>
  <si>
    <t>AT00061</t>
  </si>
  <si>
    <t>AT00062</t>
  </si>
  <si>
    <t>期间</t>
  </si>
  <si>
    <t>PeriodId</t>
  </si>
  <si>
    <t>关联期间</t>
  </si>
  <si>
    <t>NVARCHAR(10)</t>
  </si>
  <si>
    <t>FPeriodId</t>
  </si>
  <si>
    <t>AT00063</t>
  </si>
  <si>
    <t>入库数量</t>
  </si>
  <si>
    <t>FInQty</t>
  </si>
  <si>
    <t>当月入库数量</t>
  </si>
  <si>
    <t>AT00064</t>
  </si>
  <si>
    <t>入库金额</t>
  </si>
  <si>
    <t>InAmt</t>
  </si>
  <si>
    <t>当月入库金额</t>
  </si>
  <si>
    <t>FInAmt</t>
  </si>
  <si>
    <t>AT00067</t>
  </si>
  <si>
    <t>移动类型</t>
  </si>
  <si>
    <t>MoveType</t>
  </si>
  <si>
    <t>类型(采购入/销售出/调拨/报废)</t>
  </si>
  <si>
    <t>FMoveType</t>
  </si>
  <si>
    <t>BO010</t>
  </si>
  <si>
    <t>LE00018</t>
  </si>
  <si>
    <t>Outbound_Order</t>
  </si>
  <si>
    <t>移动单ID</t>
  </si>
  <si>
    <t>AT00065</t>
  </si>
  <si>
    <t>出库数量</t>
  </si>
  <si>
    <t>OutQty</t>
  </si>
  <si>
    <t>当月出库数量</t>
  </si>
  <si>
    <t>FOutQty</t>
  </si>
  <si>
    <t>AT00066</t>
  </si>
  <si>
    <t>出库金额</t>
  </si>
  <si>
    <t>OutAmt</t>
  </si>
  <si>
    <t>当月出库金额</t>
  </si>
  <si>
    <t>FOutAmt</t>
  </si>
  <si>
    <t>建模问题：只建立Object type之间的关系，而Object type内部各个实体关系，如头行结构，无法建立，是否影响AI使用？</t>
  </si>
  <si>
    <t>关系编号</t>
  </si>
  <si>
    <t>源业务对象编号</t>
  </si>
  <si>
    <t>源业务对象名称</t>
  </si>
  <si>
    <t>目标业务对象编号</t>
  </si>
  <si>
    <t>目标业务对象名称</t>
  </si>
  <si>
    <t>关系类型</t>
  </si>
  <si>
    <t>关系描述</t>
  </si>
  <si>
    <t>关联属性</t>
  </si>
  <si>
    <t>ER001</t>
  </si>
  <si>
    <t>1:N</t>
  </si>
  <si>
    <t>组织自引用(上下级)</t>
  </si>
  <si>
    <t>FParentOrgId -&gt; FOrgId</t>
  </si>
  <si>
    <t>ER002</t>
  </si>
  <si>
    <t>事业部拥有多条产品线</t>
  </si>
  <si>
    <t>FOrgId-&gt;FOrgId</t>
  </si>
  <si>
    <t>ER007</t>
  </si>
  <si>
    <t>客户拥有多个销售订单</t>
  </si>
  <si>
    <t>FCustomerId-&gt;FCustomerId</t>
  </si>
  <si>
    <t>ER008</t>
  </si>
  <si>
    <t>事业部拥有多个销售订单</t>
  </si>
  <si>
    <t>FOrgId-FOrgId</t>
  </si>
  <si>
    <t>ER010</t>
  </si>
  <si>
    <t>物料出现在销售分录中</t>
  </si>
  <si>
    <t>FMaterialId-&gt;FMaterialId</t>
  </si>
  <si>
    <t>ER012</t>
  </si>
  <si>
    <t>供应商拥有多个采购订单</t>
  </si>
  <si>
    <t>FSupplierId-&gt;FSupplierId</t>
  </si>
  <si>
    <t>ER014</t>
  </si>
  <si>
    <t>物料出现在采购分录中</t>
  </si>
  <si>
    <t>ER021</t>
  </si>
  <si>
    <t>LE00016</t>
  </si>
  <si>
    <t>物料有库存记录</t>
  </si>
  <si>
    <t>ER023</t>
  </si>
  <si>
    <t>物料有出入库记录</t>
  </si>
  <si>
    <t>活动编码</t>
  </si>
  <si>
    <t>活动描述</t>
  </si>
  <si>
    <t>上游活动编码</t>
  </si>
  <si>
    <t>业务角色</t>
  </si>
  <si>
    <t>操作业务对象编号</t>
  </si>
  <si>
    <t>操作业务对象名称</t>
  </si>
  <si>
    <t>A001</t>
  </si>
  <si>
    <t>采购订单创建</t>
  </si>
  <si>
    <t>采购专员根据审核通过的采购申请单创建采购订单</t>
  </si>
  <si>
    <t>采购专员</t>
  </si>
  <si>
    <t>A002</t>
  </si>
  <si>
    <t>采购订单审核</t>
  </si>
  <si>
    <t>采购主管审核采购订单的价格、条款等关键信息</t>
  </si>
  <si>
    <t>采购主管</t>
  </si>
  <si>
    <t>A003</t>
  </si>
  <si>
    <t>采购订单下达供应商</t>
  </si>
  <si>
    <t>向供应商正式下达采购订单</t>
  </si>
  <si>
    <t>A004</t>
  </si>
  <si>
    <t>采购订单变更</t>
  </si>
  <si>
    <t>处理采购订单的变更需求</t>
  </si>
  <si>
    <t>A005</t>
  </si>
  <si>
    <t>采购订单关闭</t>
  </si>
  <si>
    <t>采购订单执行完成后进行关闭操作</t>
  </si>
  <si>
    <t>行动类型编码</t>
  </si>
  <si>
    <t>行动类型中文名称</t>
  </si>
  <si>
    <t>行动类型英文名称</t>
  </si>
  <si>
    <t>行动类型描述</t>
  </si>
  <si>
    <t>参数</t>
  </si>
  <si>
    <t>创建采购订单</t>
  </si>
  <si>
    <t>更新采购订单</t>
  </si>
  <si>
    <t>删除采购订单</t>
  </si>
  <si>
    <t>采购订单收货</t>
  </si>
  <si>
    <t>采购订单入库</t>
  </si>
  <si>
    <t>采购订单退货</t>
  </si>
  <si>
    <t>采购订单部分退货</t>
  </si>
  <si>
    <t>建模问题：建模人员可以基于数据库，识别一些简单的原子指标，但对指标的统计口径（统计范围），很难做精准的业务定义，依赖于业务架构的定义。</t>
  </si>
  <si>
    <t>指标编码</t>
  </si>
  <si>
    <t>指标名称</t>
  </si>
  <si>
    <t>指标别名</t>
  </si>
  <si>
    <t>指标英文名</t>
  </si>
  <si>
    <t>指标定义</t>
  </si>
  <si>
    <t>计算公式(业务)</t>
  </si>
  <si>
    <t>统计口径</t>
  </si>
  <si>
    <t>指标类型(1为复合指标,2为原子指标)</t>
  </si>
  <si>
    <t>计算公式(技术)</t>
  </si>
  <si>
    <t>对应表名</t>
  </si>
  <si>
    <t>聚合列</t>
  </si>
  <si>
    <t>聚合类型</t>
  </si>
  <si>
    <t>连接条件</t>
  </si>
  <si>
    <t>筛选条件</t>
  </si>
  <si>
    <t>维度列</t>
  </si>
  <si>
    <t>版本</t>
  </si>
  <si>
    <t>修改说明</t>
  </si>
  <si>
    <t>M001</t>
  </si>
  <si>
    <t>采购总金额、应付采购款</t>
  </si>
  <si>
    <t>Purchase Amount</t>
  </si>
  <si>
    <t>企业在一定周期内，向供应商采购物料、商品及相关服务所发生的实际应付或已付总金额，是反映企业采购成本的核心指标。</t>
  </si>
  <si>
    <r>
      <rPr>
        <sz val="11"/>
        <color rgb="FF000000"/>
        <rFont val="等线"/>
        <charset val="134"/>
      </rPr>
      <t>采购金额</t>
    </r>
    <r>
      <rPr>
        <sz val="11"/>
        <color rgb="FF000000"/>
        <rFont val="宋体"/>
        <charset val="134"/>
      </rPr>
      <t xml:space="preserve"> = </t>
    </r>
    <r>
      <rPr>
        <sz val="11"/>
        <color rgb="FF000000"/>
        <rFont val="等线"/>
        <charset val="134"/>
      </rPr>
      <t>当期所有采购订单金额（含税）累计</t>
    </r>
  </si>
  <si>
    <r>
      <rPr>
        <sz val="11"/>
        <color rgb="FF000000"/>
        <rFont val="宋体"/>
        <charset val="134"/>
      </rPr>
      <t xml:space="preserve">1. </t>
    </r>
    <r>
      <rPr>
        <sz val="11"/>
        <color rgb="FF000000"/>
        <rFont val="等线"/>
        <charset val="134"/>
      </rPr>
      <t xml:space="preserve">周期：可按日、周、月、季度、年度统计；
</t>
    </r>
    <r>
      <rPr>
        <sz val="11"/>
        <color rgb="FF000000"/>
        <rFont val="宋体"/>
        <charset val="134"/>
      </rPr>
      <t xml:space="preserve">2. </t>
    </r>
    <r>
      <rPr>
        <sz val="11"/>
        <color rgb="FF000000"/>
        <rFont val="等线"/>
        <charset val="134"/>
      </rPr>
      <t xml:space="preserve">范围：企业所有组织单元发起的采购订单，不含作废、取消的采购订单；
</t>
    </r>
    <r>
      <rPr>
        <sz val="11"/>
        <color rgb="FF000000"/>
        <rFont val="宋体"/>
        <charset val="134"/>
      </rPr>
      <t xml:space="preserve">3. </t>
    </r>
    <r>
      <rPr>
        <sz val="11"/>
        <color rgb="FF000000"/>
        <rFont val="等线"/>
        <charset val="134"/>
      </rPr>
      <t>计价：默认按不含税金额统计；</t>
    </r>
  </si>
  <si>
    <t>T_PUR_POOrderEntry</t>
  </si>
  <si>
    <t>SUM</t>
  </si>
  <si>
    <t>M002</t>
  </si>
  <si>
    <t>销售收入</t>
  </si>
  <si>
    <t>销售总营收、销售回款（不含未回款部分）</t>
  </si>
  <si>
    <t>Sales Revenue</t>
  </si>
  <si>
    <t>企业向客户销售产品、提供服务所实现的营业收入总额，是反映企业经营业绩的核心指标。</t>
  </si>
  <si>
    <r>
      <rPr>
        <sz val="11"/>
        <color rgb="FF000000"/>
        <rFont val="等线"/>
        <charset val="134"/>
      </rPr>
      <t>销售收入</t>
    </r>
    <r>
      <rPr>
        <sz val="11"/>
        <color rgb="FF000000"/>
        <rFont val="宋体"/>
        <charset val="134"/>
      </rPr>
      <t xml:space="preserve"> = </t>
    </r>
    <r>
      <rPr>
        <sz val="11"/>
        <color rgb="FF000000"/>
        <rFont val="等线"/>
        <charset val="134"/>
      </rPr>
      <t>当期所有确认履约的销售订单金额（含税）累计</t>
    </r>
  </si>
  <si>
    <r>
      <rPr>
        <sz val="11"/>
        <color rgb="FF000000"/>
        <rFont val="宋体"/>
        <charset val="134"/>
      </rPr>
      <t xml:space="preserve">1. </t>
    </r>
    <r>
      <rPr>
        <sz val="11"/>
        <color rgb="FF000000"/>
        <rFont val="等线"/>
        <charset val="134"/>
      </rPr>
      <t xml:space="preserve">周期：可按日、周、月、季度、年度统计；
</t>
    </r>
    <r>
      <rPr>
        <sz val="11"/>
        <color rgb="FF000000"/>
        <rFont val="宋体"/>
        <charset val="134"/>
      </rPr>
      <t xml:space="preserve">2. </t>
    </r>
    <r>
      <rPr>
        <sz val="11"/>
        <color rgb="FF000000"/>
        <rFont val="等线"/>
        <charset val="134"/>
      </rPr>
      <t>范围：已确认履约（出库</t>
    </r>
    <r>
      <rPr>
        <sz val="11"/>
        <color rgb="FF000000"/>
        <rFont val="宋体"/>
        <charset val="134"/>
      </rPr>
      <t>/</t>
    </r>
    <r>
      <rPr>
        <sz val="11"/>
        <color rgb="FF000000"/>
        <rFont val="等线"/>
        <charset val="134"/>
      </rPr>
      <t xml:space="preserve">交付）的销售订单，不含作废、取消、未履约订单；
</t>
    </r>
    <r>
      <rPr>
        <sz val="11"/>
        <color rgb="FF000000"/>
        <rFont val="宋体"/>
        <charset val="134"/>
      </rPr>
      <t xml:space="preserve">3. </t>
    </r>
    <r>
      <rPr>
        <sz val="11"/>
        <color rgb="FF000000"/>
        <rFont val="等线"/>
        <charset val="134"/>
      </rPr>
      <t>计价：默认按不含税金额统计</t>
    </r>
  </si>
  <si>
    <t>T_SAL_OrderEntry</t>
  </si>
  <si>
    <t>M003</t>
  </si>
  <si>
    <t>库存结存金额</t>
  </si>
  <si>
    <t>库存账面金额、期末库存价值</t>
  </si>
  <si>
    <t>Inventory Balance Amount</t>
  </si>
  <si>
    <t>在指定统计时点，仓库中所有物料、成品等库存物资按既定计价方式计算的账面总价值，反映企业库存资产规模。</t>
  </si>
  <si>
    <r>
      <rPr>
        <sz val="11"/>
        <color theme="1"/>
        <rFont val="等线"/>
        <charset val="134"/>
      </rPr>
      <t>库存结存金额</t>
    </r>
    <r>
      <rPr>
        <sz val="11"/>
        <color theme="1"/>
        <rFont val="宋体"/>
        <charset val="134"/>
        <scheme val="minor"/>
      </rPr>
      <t xml:space="preserve"> = Σ</t>
    </r>
    <r>
      <rPr>
        <sz val="11"/>
        <color theme="1"/>
        <rFont val="等线"/>
        <charset val="134"/>
      </rPr>
      <t>（某物料结存数量</t>
    </r>
    <r>
      <rPr>
        <sz val="11"/>
        <color theme="1"/>
        <rFont val="宋体"/>
        <charset val="134"/>
        <scheme val="minor"/>
      </rPr>
      <t xml:space="preserve"> × </t>
    </r>
    <r>
      <rPr>
        <sz val="11"/>
        <color theme="1"/>
        <rFont val="等线"/>
        <charset val="134"/>
      </rPr>
      <t>该物料当期计价单价），计价方式包括加权平均法、先进先出法等。</t>
    </r>
  </si>
  <si>
    <r>
      <rPr>
        <sz val="11"/>
        <color rgb="FF000000"/>
        <rFont val="宋体"/>
        <charset val="134"/>
      </rPr>
      <t xml:space="preserve">1. </t>
    </r>
    <r>
      <rPr>
        <sz val="11"/>
        <color rgb="FF000000"/>
        <rFont val="等线"/>
        <charset val="134"/>
      </rPr>
      <t xml:space="preserve">时点：指定具体日期（如月末、季末、年末）的期末时点；
</t>
    </r>
    <r>
      <rPr>
        <sz val="11"/>
        <color rgb="FF000000"/>
        <rFont val="宋体"/>
        <charset val="134"/>
      </rPr>
      <t xml:space="preserve">2. </t>
    </r>
    <r>
      <rPr>
        <sz val="11"/>
        <color rgb="FF000000"/>
        <rFont val="等线"/>
        <charset val="134"/>
      </rPr>
      <t xml:space="preserve">范围：企业所有仓库（含物理仓库、逻辑仓库）的全部库存物资，不含已出库未结算、已入库未入账物资；
</t>
    </r>
    <r>
      <rPr>
        <sz val="11"/>
        <color rgb="FF000000"/>
        <rFont val="宋体"/>
        <charset val="134"/>
      </rPr>
      <t xml:space="preserve">3. </t>
    </r>
    <r>
      <rPr>
        <sz val="11"/>
        <color rgb="FF000000"/>
        <rFont val="等线"/>
        <charset val="134"/>
      </rPr>
      <t>计价：按企业统一规定的计价方式执行，同一物料计价方式一致；</t>
    </r>
  </si>
  <si>
    <t>FOnHandAmt</t>
  </si>
  <si>
    <t>M004</t>
  </si>
  <si>
    <t>库存结存数量</t>
  </si>
  <si>
    <t>库存实物数量、期末库存数</t>
  </si>
  <si>
    <t>Inventory Balance Quantity</t>
  </si>
  <si>
    <t>在指定统计时点，各仓库、库位实际留存的物料、成品等库存实物总数量，反映企业库存实物规模。</t>
  </si>
  <si>
    <r>
      <rPr>
        <sz val="11"/>
        <color theme="1"/>
        <rFont val="等线"/>
        <charset val="134"/>
      </rPr>
      <t>库存结存数量</t>
    </r>
    <r>
      <rPr>
        <sz val="11"/>
        <color theme="1"/>
        <rFont val="宋体"/>
        <charset val="134"/>
        <scheme val="minor"/>
      </rPr>
      <t xml:space="preserve"> = </t>
    </r>
    <r>
      <rPr>
        <sz val="11"/>
        <color theme="1"/>
        <rFont val="等线"/>
        <charset val="134"/>
      </rPr>
      <t>期初库存数量</t>
    </r>
    <r>
      <rPr>
        <sz val="11"/>
        <color theme="1"/>
        <rFont val="宋体"/>
        <charset val="134"/>
        <scheme val="minor"/>
      </rPr>
      <t xml:space="preserve"> + </t>
    </r>
    <r>
      <rPr>
        <sz val="11"/>
        <color theme="1"/>
        <rFont val="等线"/>
        <charset val="134"/>
      </rPr>
      <t>当期入库总数量</t>
    </r>
    <r>
      <rPr>
        <sz val="11"/>
        <color theme="1"/>
        <rFont val="宋体"/>
        <charset val="134"/>
        <scheme val="minor"/>
      </rPr>
      <t xml:space="preserve"> - </t>
    </r>
    <r>
      <rPr>
        <sz val="11"/>
        <color theme="1"/>
        <rFont val="等线"/>
        <charset val="134"/>
      </rPr>
      <t>当期出库总数量</t>
    </r>
  </si>
  <si>
    <r>
      <rPr>
        <sz val="11"/>
        <color rgb="FF000000"/>
        <rFont val="宋体"/>
        <charset val="134"/>
      </rPr>
      <t xml:space="preserve">1. </t>
    </r>
    <r>
      <rPr>
        <sz val="11"/>
        <color rgb="FF000000"/>
        <rFont val="等线"/>
        <charset val="134"/>
      </rPr>
      <t xml:space="preserve">时点：指定具体日期（如月末、季末、年末）的期末时点；
</t>
    </r>
    <r>
      <rPr>
        <sz val="11"/>
        <color rgb="FF000000"/>
        <rFont val="宋体"/>
        <charset val="134"/>
      </rPr>
      <t xml:space="preserve">2. </t>
    </r>
    <r>
      <rPr>
        <sz val="11"/>
        <color rgb="FF000000"/>
        <rFont val="等线"/>
        <charset val="134"/>
      </rPr>
      <t xml:space="preserve">范围：企业所有仓库的全部库存实物，含合格库存、待检库存，不含报废、冻结库存（按需调整）；
</t>
    </r>
    <r>
      <rPr>
        <sz val="11"/>
        <color rgb="FF000000"/>
        <rFont val="宋体"/>
        <charset val="134"/>
      </rPr>
      <t xml:space="preserve">3. </t>
    </r>
    <r>
      <rPr>
        <sz val="11"/>
        <color rgb="FF000000"/>
        <rFont val="等线"/>
        <charset val="134"/>
      </rPr>
      <t>计量：按物料既定计量单位统计（如个、件、吨），不跨计量单位汇总；</t>
    </r>
  </si>
  <si>
    <t>FOnHandQty</t>
  </si>
  <si>
    <t>M005</t>
  </si>
  <si>
    <t>月度入库总金额、本月入库价值</t>
  </si>
  <si>
    <t>Monthly Warehousing Amount</t>
  </si>
  <si>
    <t>自然月内，所有入库单对应的物料、成品等物资累计入库总金额，反映月度库存增加的价值规模。</t>
  </si>
  <si>
    <r>
      <rPr>
        <sz val="11"/>
        <color theme="1"/>
        <rFont val="等线"/>
        <charset val="134"/>
      </rPr>
      <t>当月入库金额</t>
    </r>
    <r>
      <rPr>
        <sz val="11"/>
        <color theme="1"/>
        <rFont val="宋体"/>
        <charset val="134"/>
        <scheme val="minor"/>
      </rPr>
      <t xml:space="preserve"> = </t>
    </r>
    <r>
      <rPr>
        <sz val="11"/>
        <color theme="1"/>
        <rFont val="等线"/>
        <charset val="134"/>
      </rPr>
      <t>当月所有有效入库单（含采购入库、生产入库等）对应物资金额累计</t>
    </r>
  </si>
  <si>
    <r>
      <rPr>
        <sz val="11"/>
        <color rgb="FF000000"/>
        <rFont val="宋体"/>
        <charset val="134"/>
      </rPr>
      <t xml:space="preserve">1. </t>
    </r>
    <r>
      <rPr>
        <sz val="11"/>
        <color rgb="FF000000"/>
        <rFont val="等线"/>
        <charset val="134"/>
      </rPr>
      <t>周期：自然月（每月</t>
    </r>
    <r>
      <rPr>
        <sz val="11"/>
        <color rgb="FF000000"/>
        <rFont val="宋体"/>
        <charset val="134"/>
      </rPr>
      <t>1</t>
    </r>
    <r>
      <rPr>
        <sz val="11"/>
        <color rgb="FF000000"/>
        <rFont val="等线"/>
        <charset val="134"/>
      </rPr>
      <t xml:space="preserve">日至当月月末）；
</t>
    </r>
    <r>
      <rPr>
        <sz val="11"/>
        <color rgb="FF000000"/>
        <rFont val="宋体"/>
        <charset val="134"/>
      </rPr>
      <t xml:space="preserve">2. </t>
    </r>
    <r>
      <rPr>
        <sz val="11"/>
        <color rgb="FF000000"/>
        <rFont val="等线"/>
        <charset val="134"/>
      </rPr>
      <t xml:space="preserve">范围：当月已审核、生效的入库单，不含作废、取消、未审核的入库单；
</t>
    </r>
    <r>
      <rPr>
        <sz val="11"/>
        <color rgb="FF000000"/>
        <rFont val="宋体"/>
        <charset val="134"/>
      </rPr>
      <t xml:space="preserve">3. </t>
    </r>
    <r>
      <rPr>
        <sz val="11"/>
        <color rgb="FF000000"/>
        <rFont val="等线"/>
        <charset val="134"/>
      </rPr>
      <t>计价：与库存计价方式一致，按不含税金额统计；</t>
    </r>
  </si>
  <si>
    <t>M006</t>
  </si>
  <si>
    <t>月度出库总金额、本月出库价值</t>
  </si>
  <si>
    <t>Monthly Outbound Amount</t>
  </si>
  <si>
    <t>自然月内，所有出库单对应的物料、成品等物资累计出库总金额，反映月度库存减少的价值规模。</t>
  </si>
  <si>
    <r>
      <rPr>
        <sz val="11"/>
        <color theme="1"/>
        <rFont val="等线"/>
        <charset val="134"/>
      </rPr>
      <t>当月出库金额</t>
    </r>
    <r>
      <rPr>
        <sz val="11"/>
        <color theme="1"/>
        <rFont val="宋体"/>
        <charset val="134"/>
        <scheme val="minor"/>
      </rPr>
      <t xml:space="preserve"> = </t>
    </r>
    <r>
      <rPr>
        <sz val="11"/>
        <color theme="1"/>
        <rFont val="等线"/>
        <charset val="134"/>
      </rPr>
      <t>当月所有有效出库单（含销售出库、生产领用等）对应物资金额累计</t>
    </r>
  </si>
  <si>
    <r>
      <rPr>
        <sz val="11"/>
        <color rgb="FF000000"/>
        <rFont val="宋体"/>
        <charset val="134"/>
      </rPr>
      <t xml:space="preserve">1. </t>
    </r>
    <r>
      <rPr>
        <sz val="11"/>
        <color rgb="FF000000"/>
        <rFont val="等线"/>
        <charset val="134"/>
      </rPr>
      <t>周期：自然月（每月</t>
    </r>
    <r>
      <rPr>
        <sz val="11"/>
        <color rgb="FF000000"/>
        <rFont val="宋体"/>
        <charset val="134"/>
      </rPr>
      <t>1</t>
    </r>
    <r>
      <rPr>
        <sz val="11"/>
        <color rgb="FF000000"/>
        <rFont val="等线"/>
        <charset val="134"/>
      </rPr>
      <t xml:space="preserve">日至当月月末）；
</t>
    </r>
    <r>
      <rPr>
        <sz val="11"/>
        <color rgb="FF000000"/>
        <rFont val="宋体"/>
        <charset val="134"/>
      </rPr>
      <t xml:space="preserve">2. </t>
    </r>
    <r>
      <rPr>
        <sz val="11"/>
        <color rgb="FF000000"/>
        <rFont val="等线"/>
        <charset val="134"/>
      </rPr>
      <t xml:space="preserve">范围：当月已审核、生效的出库单，不含作废、取消、未审核的出库单；
</t>
    </r>
    <r>
      <rPr>
        <sz val="11"/>
        <color rgb="FF000000"/>
        <rFont val="宋体"/>
        <charset val="134"/>
      </rPr>
      <t xml:space="preserve">3. </t>
    </r>
    <r>
      <rPr>
        <sz val="11"/>
        <color rgb="FF000000"/>
        <rFont val="等线"/>
        <charset val="134"/>
      </rPr>
      <t>计价：与库存计价方式一致，按不含税金额统计；</t>
    </r>
  </si>
  <si>
    <t>M007</t>
  </si>
  <si>
    <t>月度入库总数量、本月入库件数</t>
  </si>
  <si>
    <t>Monthly Warehousing Quantity</t>
  </si>
  <si>
    <t>自然月内，所有入库单记录的物料、成品等累计入库总数量，反映月度库存实物增加的规模。</t>
  </si>
  <si>
    <r>
      <rPr>
        <sz val="11"/>
        <color theme="1"/>
        <rFont val="等线"/>
        <charset val="134"/>
      </rPr>
      <t>当月入库数量</t>
    </r>
    <r>
      <rPr>
        <sz val="11"/>
        <color theme="1"/>
        <rFont val="宋体"/>
        <charset val="134"/>
        <scheme val="minor"/>
      </rPr>
      <t xml:space="preserve"> = </t>
    </r>
    <r>
      <rPr>
        <sz val="11"/>
        <color theme="1"/>
        <rFont val="等线"/>
        <charset val="134"/>
      </rPr>
      <t>当月所有有效入库单对应物资数量累计（按各物料计量单位汇总）</t>
    </r>
  </si>
  <si>
    <r>
      <rPr>
        <sz val="11"/>
        <color theme="1"/>
        <rFont val="宋体"/>
        <charset val="134"/>
        <scheme val="minor"/>
      </rPr>
      <t xml:space="preserve">1. </t>
    </r>
    <r>
      <rPr>
        <sz val="11"/>
        <color theme="1"/>
        <rFont val="等线"/>
        <charset val="134"/>
      </rPr>
      <t>周期：自然月（每月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等线"/>
        <charset val="134"/>
      </rPr>
      <t>日至当月月末）；</t>
    </r>
    <r>
      <rPr>
        <sz val="11"/>
        <color theme="1"/>
        <rFont val="宋体"/>
        <charset val="134"/>
        <scheme val="minor"/>
      </rPr>
      <t xml:space="preserve">2. </t>
    </r>
    <r>
      <rPr>
        <sz val="11"/>
        <color theme="1"/>
        <rFont val="等线"/>
        <charset val="134"/>
      </rPr>
      <t>范围：当月已审核、生效的入库单，不含作废、取消、未审核的入库单；</t>
    </r>
    <r>
      <rPr>
        <sz val="11"/>
        <color theme="1"/>
        <rFont val="宋体"/>
        <charset val="134"/>
        <scheme val="minor"/>
      </rPr>
      <t xml:space="preserve">3. </t>
    </r>
    <r>
      <rPr>
        <sz val="11"/>
        <color theme="1"/>
        <rFont val="等线"/>
        <charset val="134"/>
      </rPr>
      <t>计量：按物料既定计量单位统计，同类计量单位可汇总，不同计量单位分别统计；</t>
    </r>
    <r>
      <rPr>
        <sz val="11"/>
        <color theme="1"/>
        <rFont val="宋体"/>
        <charset val="134"/>
        <scheme val="minor"/>
      </rPr>
      <t xml:space="preserve">4. </t>
    </r>
    <r>
      <rPr>
        <sz val="11"/>
        <color theme="1"/>
        <rFont val="等线"/>
        <charset val="134"/>
      </rPr>
      <t>关联维度：可按仓库、物料、入库类型维度拆分统计。</t>
    </r>
  </si>
  <si>
    <t>M008</t>
  </si>
  <si>
    <t>月度出库总数量、本月出库件数</t>
  </si>
  <si>
    <t>Monthly Outbound Quantity</t>
  </si>
  <si>
    <t>自然月内，所有出库单记录的物料、成品等累计出库总数量，反映月度库存实物减少的规模。</t>
  </si>
  <si>
    <r>
      <rPr>
        <sz val="11"/>
        <color theme="1"/>
        <rFont val="等线"/>
        <charset val="134"/>
      </rPr>
      <t>当月出库数量</t>
    </r>
    <r>
      <rPr>
        <sz val="11"/>
        <color theme="1"/>
        <rFont val="宋体"/>
        <charset val="134"/>
        <scheme val="minor"/>
      </rPr>
      <t xml:space="preserve"> = </t>
    </r>
    <r>
      <rPr>
        <sz val="11"/>
        <color theme="1"/>
        <rFont val="等线"/>
        <charset val="134"/>
      </rPr>
      <t>当月所有有效出库单对应物资数量累计（按各物料计量单位汇总）</t>
    </r>
  </si>
  <si>
    <r>
      <rPr>
        <sz val="11"/>
        <color rgb="FF000000"/>
        <rFont val="宋体"/>
        <charset val="134"/>
      </rPr>
      <t xml:space="preserve">1. </t>
    </r>
    <r>
      <rPr>
        <sz val="11"/>
        <color rgb="FF000000"/>
        <rFont val="等线"/>
        <charset val="134"/>
      </rPr>
      <t>周期：自然月（每月</t>
    </r>
    <r>
      <rPr>
        <sz val="11"/>
        <color rgb="FF000000"/>
        <rFont val="宋体"/>
        <charset val="134"/>
      </rPr>
      <t>1</t>
    </r>
    <r>
      <rPr>
        <sz val="11"/>
        <color rgb="FF000000"/>
        <rFont val="等线"/>
        <charset val="134"/>
      </rPr>
      <t xml:space="preserve">日至当月月末）；
</t>
    </r>
    <r>
      <rPr>
        <sz val="11"/>
        <color rgb="FF000000"/>
        <rFont val="宋体"/>
        <charset val="134"/>
      </rPr>
      <t xml:space="preserve">2. </t>
    </r>
    <r>
      <rPr>
        <sz val="11"/>
        <color rgb="FF000000"/>
        <rFont val="等线"/>
        <charset val="134"/>
      </rPr>
      <t xml:space="preserve">范围：当月已审核、生效的出库单，不含作废、取消、未审核的出库单；
</t>
    </r>
    <r>
      <rPr>
        <sz val="11"/>
        <color rgb="FF000000"/>
        <rFont val="宋体"/>
        <charset val="134"/>
      </rPr>
      <t xml:space="preserve">3. </t>
    </r>
    <r>
      <rPr>
        <sz val="11"/>
        <color rgb="FF000000"/>
        <rFont val="等线"/>
        <charset val="134"/>
      </rPr>
      <t>计量：按物料既定计量单位统计，同类计量单位可汇总，不同计量单位分别统计；</t>
    </r>
  </si>
  <si>
    <t>维度编码</t>
  </si>
  <si>
    <t>维度名称</t>
  </si>
  <si>
    <t>维度别名</t>
  </si>
  <si>
    <t>维度英文名</t>
  </si>
  <si>
    <t>维度定义</t>
  </si>
  <si>
    <t>维度层级</t>
  </si>
  <si>
    <t>来源表</t>
  </si>
  <si>
    <t>D001</t>
  </si>
  <si>
    <t>时间维度</t>
  </si>
  <si>
    <t>周期维度、日期维度</t>
  </si>
  <si>
    <t>Time Dimension</t>
  </si>
  <si>
    <t>用于统计业务发生时间、划分统计周期的基础维度，支撑所有业务指标按时间范围的汇总、拆分与对比分析。</t>
  </si>
  <si>
    <r>
      <rPr>
        <sz val="11"/>
        <color rgb="FF000000"/>
        <rFont val="宋体"/>
        <charset val="0"/>
        <scheme val="minor"/>
      </rPr>
      <t>5</t>
    </r>
    <r>
      <rPr>
        <sz val="11"/>
        <color rgb="FF000000"/>
        <rFont val="等线"/>
        <charset val="134"/>
      </rPr>
      <t>级（顶层：年度</t>
    </r>
    <r>
      <rPr>
        <sz val="11"/>
        <color rgb="FF000000"/>
        <rFont val="宋体"/>
        <charset val="0"/>
        <scheme val="minor"/>
      </rPr>
      <t xml:space="preserve"> → </t>
    </r>
    <r>
      <rPr>
        <sz val="11"/>
        <color rgb="FF000000"/>
        <rFont val="等线"/>
        <charset val="134"/>
      </rPr>
      <t>季度</t>
    </r>
    <r>
      <rPr>
        <sz val="11"/>
        <color rgb="FF000000"/>
        <rFont val="宋体"/>
        <charset val="0"/>
        <scheme val="minor"/>
      </rPr>
      <t xml:space="preserve"> → </t>
    </r>
    <r>
      <rPr>
        <sz val="11"/>
        <color rgb="FF000000"/>
        <rFont val="等线"/>
        <charset val="134"/>
      </rPr>
      <t>月度</t>
    </r>
    <r>
      <rPr>
        <sz val="11"/>
        <color rgb="FF000000"/>
        <rFont val="宋体"/>
        <charset val="0"/>
        <scheme val="minor"/>
      </rPr>
      <t xml:space="preserve"> → </t>
    </r>
    <r>
      <rPr>
        <sz val="11"/>
        <color rgb="FF000000"/>
        <rFont val="等线"/>
        <charset val="134"/>
      </rPr>
      <t>周</t>
    </r>
    <r>
      <rPr>
        <sz val="11"/>
        <color rgb="FF000000"/>
        <rFont val="宋体"/>
        <charset val="0"/>
        <scheme val="minor"/>
      </rPr>
      <t xml:space="preserve"> → </t>
    </r>
    <r>
      <rPr>
        <sz val="11"/>
        <color rgb="FF000000"/>
        <rFont val="等线"/>
        <charset val="134"/>
      </rPr>
      <t>日）</t>
    </r>
  </si>
  <si>
    <t>D002</t>
  </si>
  <si>
    <t>组织维度</t>
  </si>
  <si>
    <t>机构维度、部门维度</t>
  </si>
  <si>
    <t>Organization Dimension</t>
  </si>
  <si>
    <t>用于划分企业内部权责与业务范围的核心维度，涵盖企业所有组织单元，用于关联业务单据、指标统计与权限管控。</t>
  </si>
  <si>
    <r>
      <rPr>
        <sz val="11"/>
        <color rgb="FF000000"/>
        <rFont val="宋体"/>
        <charset val="0"/>
        <scheme val="minor"/>
      </rPr>
      <t>3</t>
    </r>
    <r>
      <rPr>
        <sz val="11"/>
        <color rgb="FF000000"/>
        <rFont val="等线"/>
        <charset val="134"/>
      </rPr>
      <t>级（顶层：公司</t>
    </r>
    <r>
      <rPr>
        <sz val="11"/>
        <color rgb="FF000000"/>
        <rFont val="宋体"/>
        <charset val="0"/>
        <scheme val="minor"/>
      </rPr>
      <t>/</t>
    </r>
    <r>
      <rPr>
        <sz val="11"/>
        <color rgb="FF000000"/>
        <rFont val="等线"/>
        <charset val="134"/>
      </rPr>
      <t>集团</t>
    </r>
    <r>
      <rPr>
        <sz val="11"/>
        <color rgb="FF000000"/>
        <rFont val="宋体"/>
        <charset val="0"/>
        <scheme val="minor"/>
      </rPr>
      <t xml:space="preserve"> → </t>
    </r>
    <r>
      <rPr>
        <sz val="11"/>
        <color rgb="FF000000"/>
        <rFont val="等线"/>
        <charset val="134"/>
      </rPr>
      <t>中层：部门</t>
    </r>
    <r>
      <rPr>
        <sz val="11"/>
        <color rgb="FF000000"/>
        <rFont val="宋体"/>
        <charset val="0"/>
        <scheme val="minor"/>
      </rPr>
      <t>/</t>
    </r>
    <r>
      <rPr>
        <sz val="11"/>
        <color rgb="FF000000"/>
        <rFont val="等线"/>
        <charset val="134"/>
      </rPr>
      <t>事业部</t>
    </r>
    <r>
      <rPr>
        <sz val="11"/>
        <color rgb="FF000000"/>
        <rFont val="宋体"/>
        <charset val="0"/>
        <scheme val="minor"/>
      </rPr>
      <t xml:space="preserve"> → </t>
    </r>
    <r>
      <rPr>
        <sz val="11"/>
        <color rgb="FF000000"/>
        <rFont val="等线"/>
        <charset val="134"/>
      </rPr>
      <t>底层：分支机构</t>
    </r>
    <r>
      <rPr>
        <sz val="11"/>
        <color rgb="FF000000"/>
        <rFont val="宋体"/>
        <charset val="0"/>
        <scheme val="minor"/>
      </rPr>
      <t>/</t>
    </r>
    <r>
      <rPr>
        <sz val="11"/>
        <color rgb="FF000000"/>
        <rFont val="等线"/>
        <charset val="134"/>
      </rPr>
      <t>仓库）</t>
    </r>
  </si>
  <si>
    <t>D003</t>
  </si>
  <si>
    <t>客户维度</t>
  </si>
  <si>
    <t>客户分类维度、客户群体维度</t>
  </si>
  <si>
    <t>Customer Dimension</t>
  </si>
  <si>
    <t>用于区分不同客户群体、追溯销售业务来源的维度，关联客户基础信息，支撑销售收入、销售订单等指标的拆分统计。</t>
  </si>
  <si>
    <r>
      <rPr>
        <sz val="11"/>
        <color rgb="FF000000"/>
        <rFont val="宋体"/>
        <charset val="0"/>
        <scheme val="minor"/>
      </rPr>
      <t>2</t>
    </r>
    <r>
      <rPr>
        <sz val="11"/>
        <color rgb="FF000000"/>
        <rFont val="等线"/>
        <charset val="134"/>
      </rPr>
      <t>级（顶层：客户类型</t>
    </r>
    <r>
      <rPr>
        <sz val="11"/>
        <color rgb="FF000000"/>
        <rFont val="宋体"/>
        <charset val="0"/>
        <scheme val="minor"/>
      </rPr>
      <t xml:space="preserve"> → </t>
    </r>
    <r>
      <rPr>
        <sz val="11"/>
        <color rgb="FF000000"/>
        <rFont val="等线"/>
        <charset val="134"/>
      </rPr>
      <t>底层：具体客户）</t>
    </r>
  </si>
  <si>
    <t>D004</t>
  </si>
  <si>
    <t>供应商维度</t>
  </si>
  <si>
    <t>供应商分类维度、供货方维度</t>
  </si>
  <si>
    <t>Supplier Dimension</t>
  </si>
  <si>
    <t>用于区分不同供应商、管控采购业务的维度，关联供应商基础信息，支撑采购金额、采购订单等指标的拆分统计。</t>
  </si>
  <si>
    <r>
      <rPr>
        <sz val="11"/>
        <color rgb="FF000000"/>
        <rFont val="宋体"/>
        <charset val="0"/>
        <scheme val="minor"/>
      </rPr>
      <t>2</t>
    </r>
    <r>
      <rPr>
        <sz val="11"/>
        <color rgb="FF000000"/>
        <rFont val="等线"/>
        <charset val="134"/>
      </rPr>
      <t>级（顶层：供应商类型</t>
    </r>
    <r>
      <rPr>
        <sz val="11"/>
        <color rgb="FF000000"/>
        <rFont val="宋体"/>
        <charset val="0"/>
        <scheme val="minor"/>
      </rPr>
      <t xml:space="preserve"> → </t>
    </r>
    <r>
      <rPr>
        <sz val="11"/>
        <color rgb="FF000000"/>
        <rFont val="等线"/>
        <charset val="134"/>
      </rPr>
      <t>底层：具体供应商）</t>
    </r>
  </si>
  <si>
    <t>D005</t>
  </si>
  <si>
    <t>物料维度</t>
  </si>
  <si>
    <t>物料分类维度、产品维度</t>
  </si>
  <si>
    <t>Material Dimension</t>
  </si>
  <si>
    <t>用于划分物料类别、管控库存与交易的核心维度，关联物料基础信息，支撑库存、出入库、采购销售等所有相关指标统计。</t>
  </si>
  <si>
    <r>
      <rPr>
        <sz val="11"/>
        <color rgb="FF000000"/>
        <rFont val="宋体"/>
        <charset val="0"/>
        <scheme val="minor"/>
      </rPr>
      <t>3</t>
    </r>
    <r>
      <rPr>
        <sz val="11"/>
        <color rgb="FF000000"/>
        <rFont val="等线"/>
        <charset val="134"/>
      </rPr>
      <t>级（顶层：物料大类</t>
    </r>
    <r>
      <rPr>
        <sz val="11"/>
        <color rgb="FF000000"/>
        <rFont val="宋体"/>
        <charset val="0"/>
        <scheme val="minor"/>
      </rPr>
      <t xml:space="preserve"> → </t>
    </r>
    <r>
      <rPr>
        <sz val="11"/>
        <color rgb="FF000000"/>
        <rFont val="等线"/>
        <charset val="134"/>
      </rPr>
      <t>中层：物料子类</t>
    </r>
    <r>
      <rPr>
        <sz val="11"/>
        <color rgb="FF000000"/>
        <rFont val="宋体"/>
        <charset val="0"/>
        <scheme val="minor"/>
      </rPr>
      <t xml:space="preserve"> → </t>
    </r>
    <r>
      <rPr>
        <sz val="11"/>
        <color rgb="FF000000"/>
        <rFont val="等线"/>
        <charset val="134"/>
      </rPr>
      <t>底层：具体物料）</t>
    </r>
  </si>
  <si>
    <t>D006</t>
  </si>
  <si>
    <t>产品线维度</t>
  </si>
  <si>
    <t>产品系列维度、产品线分类维度</t>
  </si>
  <si>
    <t>Product Line Dimension</t>
  </si>
  <si>
    <t>用于划分产品集合、规划业务方向的维度，关联产品线信息，支撑销售收入、物料归属等指标的分类统计。</t>
  </si>
  <si>
    <r>
      <rPr>
        <sz val="11"/>
        <color rgb="FF000000"/>
        <rFont val="宋体"/>
        <charset val="0"/>
        <scheme val="minor"/>
      </rPr>
      <t>2</t>
    </r>
    <r>
      <rPr>
        <sz val="11"/>
        <color rgb="FF000000"/>
        <rFont val="等线"/>
        <charset val="134"/>
      </rPr>
      <t>级（顶层：产品线大类</t>
    </r>
    <r>
      <rPr>
        <sz val="11"/>
        <color rgb="FF000000"/>
        <rFont val="宋体"/>
        <charset val="0"/>
        <scheme val="minor"/>
      </rPr>
      <t xml:space="preserve"> → </t>
    </r>
    <r>
      <rPr>
        <sz val="11"/>
        <color rgb="FF000000"/>
        <rFont val="等线"/>
        <charset val="134"/>
      </rPr>
      <t>底层：具体产品线）</t>
    </r>
  </si>
  <si>
    <t>D007</t>
  </si>
  <si>
    <t>仓库维度</t>
  </si>
  <si>
    <t>仓储维度、库位维度</t>
  </si>
  <si>
    <t>Warehouse Dimension</t>
  </si>
  <si>
    <t>用于划分库存存储空间、管控出入库业务的维度，关联仓库基础信息，支撑库存结存、出入库等指标的拆分统计。</t>
  </si>
  <si>
    <r>
      <rPr>
        <sz val="11"/>
        <color rgb="FF000000"/>
        <rFont val="宋体"/>
        <charset val="0"/>
        <scheme val="minor"/>
      </rPr>
      <t>2</t>
    </r>
    <r>
      <rPr>
        <sz val="11"/>
        <color rgb="FF000000"/>
        <rFont val="等线"/>
        <charset val="134"/>
      </rPr>
      <t>级（顶层：仓库类型</t>
    </r>
    <r>
      <rPr>
        <sz val="11"/>
        <color rgb="FF000000"/>
        <rFont val="宋体"/>
        <charset val="0"/>
        <scheme val="minor"/>
      </rPr>
      <t xml:space="preserve"> → </t>
    </r>
    <r>
      <rPr>
        <sz val="11"/>
        <color rgb="FF000000"/>
        <rFont val="等线"/>
        <charset val="134"/>
      </rPr>
      <t>底层：具体仓库</t>
    </r>
    <r>
      <rPr>
        <sz val="11"/>
        <color rgb="FF000000"/>
        <rFont val="宋体"/>
        <charset val="0"/>
        <scheme val="minor"/>
      </rPr>
      <t>/</t>
    </r>
    <r>
      <rPr>
        <sz val="11"/>
        <color rgb="FF000000"/>
        <rFont val="等线"/>
        <charset val="134"/>
      </rPr>
      <t>库位）</t>
    </r>
  </si>
  <si>
    <t>时间(期间)</t>
  </si>
  <si>
    <t>计量单位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</si>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</sst>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sz val="11"/>
      <color rgb="FF000000"/>
      <name val="宋体"/>
      <charset val="0"/>
      <scheme val="minor"/>
    </font>
    <font>
      <b/>
      <sz val="11"/>
      <color rgb="FFFFFFFF"/>
      <name val="宋体"/>
      <charset val="134"/>
      <scheme val="minor"/>
    </font>
    <font>
      <sz val="11"/>
      <color rgb="FFC00000"/>
      <name val="宋体"/>
      <charset val="134"/>
    </font>
    <font>
      <sz val="11"/>
      <color rgb="FFC00000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C0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FBFBF"/>
        <bgColor indexed="64"/>
      </patternFill>
    </fill>
    <fill>
      <patternFill patternType="solid">
        <fgColor rgb="FF609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9" borderId="13" applyNumberFormat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2" fillId="10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6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3" borderId="0" xfId="0" applyFill="1"/>
    <xf numFmtId="0" fontId="0" fillId="0" borderId="0" xfId="0" applyAlignment="1">
      <alignment wrapText="1"/>
    </xf>
    <xf numFmtId="0" fontId="2" fillId="0" borderId="0" xfId="0" applyFont="1"/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2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7" fillId="0" borderId="0" xfId="0" applyFont="1"/>
    <xf numFmtId="0" fontId="2" fillId="3" borderId="1" xfId="0" applyFont="1" applyFill="1" applyBorder="1" applyAlignment="1">
      <alignment vertical="top" wrapText="1"/>
    </xf>
    <xf numFmtId="0" fontId="8" fillId="5" borderId="0" xfId="0" applyFont="1" applyFill="1"/>
    <xf numFmtId="0" fontId="8" fillId="0" borderId="0" xfId="0" applyFont="1"/>
    <xf numFmtId="0" fontId="0" fillId="0" borderId="0" xfId="0" applyFill="1"/>
    <xf numFmtId="0" fontId="0" fillId="0" borderId="1" xfId="0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7" fillId="0" borderId="2" xfId="0" applyFont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2" xfId="0" applyFont="1" applyBorder="1" applyAlignment="1">
      <alignment vertical="center"/>
    </xf>
    <xf numFmtId="0" fontId="2" fillId="0" borderId="7" xfId="0" applyFont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2" fillId="0" borderId="7" xfId="0" applyFont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0" fillId="6" borderId="8" xfId="0" applyFont="1" applyFill="1" applyBorder="1" applyAlignment="1">
      <alignment vertical="top" wrapText="1"/>
    </xf>
    <xf numFmtId="0" fontId="10" fillId="0" borderId="8" xfId="0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0" borderId="8" xfId="0" applyFont="1" applyBorder="1" applyAlignment="1">
      <alignment vertical="top" wrapText="1"/>
    </xf>
    <xf numFmtId="0" fontId="0" fillId="3" borderId="0" xfId="0" applyFont="1" applyFill="1"/>
    <xf numFmtId="0" fontId="0" fillId="3" borderId="1" xfId="0" applyFont="1" applyFill="1" applyBorder="1" applyAlignment="1">
      <alignment vertical="top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 applyAlignment="1"/>
    <xf numFmtId="0" fontId="2" fillId="0" borderId="2" xfId="0" applyFont="1" applyBorder="1" applyAlignment="1">
      <alignment wrapText="1"/>
    </xf>
    <xf numFmtId="0" fontId="0" fillId="0" borderId="2" xfId="0" applyBorder="1" applyAlignment="1"/>
    <xf numFmtId="0" fontId="0" fillId="0" borderId="2" xfId="0" applyBorder="1" applyAlignment="1" quotePrefix="1">
      <alignment vertical="center" wrapText="1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3" dbFileVersion="0">
    <open main="37" threadCnt="1"/>
    <sheetInfos>
      <sheetInfo cellCmpFml="0" sheetStid="18">
        <open threadCnt="1"/>
      </sheetInfo>
      <sheetInfo cellCmpFml="0" sheetStid="16">
        <open threadCnt="1"/>
      </sheetInfo>
      <sheetInfo cellCmpFml="0" sheetStid="1">
        <open threadCnt="1"/>
      </sheetInfo>
      <sheetInfo cellCmpFml="0" sheetStid="2">
        <open threadCnt="1"/>
      </sheetInfo>
      <sheetInfo cellCmpFml="3" sheetStid="4">
        <open threadCnt="1"/>
      </sheetInfo>
      <sheetInfo cellCmpFml="0" sheetStid="6">
        <open main="1" threadCnt="1"/>
      </sheetInfo>
      <sheetInfo cellCmpFml="20" sheetStid="7">
        <open threadCnt="1"/>
      </sheetInfo>
      <sheetInfo cellCmpFml="0" sheetStid="3">
        <open threadCnt="1"/>
      </sheetInfo>
      <sheetInfo cellCmpFml="0" sheetStid="14">
        <open threadCnt="1"/>
      </sheetInfo>
      <sheetInfo cellCmpFml="0" sheetStid="10">
        <open threadCnt="1"/>
      </sheetInfo>
      <sheetInfo cellCmpFml="0" sheetStid="13">
        <open threadCnt="1"/>
      </sheetInfo>
      <sheetInfo cellCmpFml="0" sheetStid="1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www.wps.cn/officeDocument/2023/relationships/woinfos" Target="woinfos.xml"/><Relationship Id="rId17" Type="http://schemas.openxmlformats.org/officeDocument/2006/relationships/styles" Target="styles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3.5" outlineLevelRow="6" outlineLevelCol="6"/>
  <cols>
    <col min="1" max="1" width="4.625" customWidth="1"/>
    <col min="2" max="2" width="22.9166666666667" style="60" customWidth="1"/>
    <col min="3" max="3" width="33.125" style="12" customWidth="1"/>
    <col min="4" max="4" width="26.375" style="60" customWidth="1"/>
    <col min="5" max="5" width="35.0416666666667" style="60" customWidth="1"/>
    <col min="6" max="6" width="13.8333333333333" style="60" customWidth="1"/>
    <col min="7" max="7" width="24.375" style="60" customWidth="1"/>
  </cols>
  <sheetData>
    <row r="1" spans="1:7">
      <c r="A1" s="6" t="s">
        <v>0</v>
      </c>
      <c r="B1" s="61" t="s">
        <v>1</v>
      </c>
      <c r="C1" s="6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ht="54" spans="1:7">
      <c r="A2" s="10">
        <v>1</v>
      </c>
      <c r="B2" s="7" t="s">
        <v>7</v>
      </c>
      <c r="C2" s="2" t="s">
        <v>8</v>
      </c>
      <c r="D2" s="7" t="s">
        <v>9</v>
      </c>
      <c r="E2" s="66" t="s">
        <v>10</v>
      </c>
      <c r="F2" s="2" t="s">
        <v>11</v>
      </c>
      <c r="G2" s="10"/>
    </row>
    <row r="3" ht="94.5" spans="1:7">
      <c r="A3" s="10">
        <v>2</v>
      </c>
      <c r="B3" s="7" t="s">
        <v>12</v>
      </c>
      <c r="C3" s="2" t="s">
        <v>13</v>
      </c>
      <c r="D3" s="7" t="s">
        <v>9</v>
      </c>
      <c r="E3" s="2" t="s">
        <v>14</v>
      </c>
      <c r="F3" s="2" t="s">
        <v>11</v>
      </c>
      <c r="G3" s="10"/>
    </row>
    <row r="4" ht="54" spans="1:7">
      <c r="A4" s="10">
        <v>3</v>
      </c>
      <c r="B4" s="7" t="s">
        <v>15</v>
      </c>
      <c r="C4" s="2" t="s">
        <v>16</v>
      </c>
      <c r="D4" s="7" t="s">
        <v>17</v>
      </c>
      <c r="E4" s="2" t="s">
        <v>18</v>
      </c>
      <c r="F4" s="10"/>
      <c r="G4" s="10"/>
    </row>
    <row r="5" ht="54" spans="1:7">
      <c r="A5" s="10">
        <v>4</v>
      </c>
      <c r="B5" s="7" t="s">
        <v>19</v>
      </c>
      <c r="C5" s="2" t="s">
        <v>20</v>
      </c>
      <c r="D5" s="7" t="s">
        <v>17</v>
      </c>
      <c r="E5" s="2" t="s">
        <v>21</v>
      </c>
      <c r="F5" s="10"/>
      <c r="G5" s="10"/>
    </row>
    <row r="6" ht="54" spans="1:7">
      <c r="A6" s="10">
        <v>5</v>
      </c>
      <c r="B6" s="7" t="s">
        <v>22</v>
      </c>
      <c r="C6" s="2" t="s">
        <v>23</v>
      </c>
      <c r="D6" s="7" t="s">
        <v>17</v>
      </c>
      <c r="E6" s="2" t="s">
        <v>24</v>
      </c>
      <c r="F6" s="10"/>
      <c r="G6" s="10"/>
    </row>
    <row r="7" ht="67.5" spans="1:7">
      <c r="A7" s="62">
        <v>6</v>
      </c>
      <c r="B7" s="63" t="s">
        <v>25</v>
      </c>
      <c r="C7" s="64" t="s">
        <v>26</v>
      </c>
      <c r="D7" s="7" t="s">
        <v>17</v>
      </c>
      <c r="E7" s="65"/>
      <c r="F7" s="65"/>
      <c r="G7" s="6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C2" sqref="C2:C4"/>
    </sheetView>
  </sheetViews>
  <sheetFormatPr defaultColWidth="9" defaultRowHeight="13.5" outlineLevelCol="6"/>
  <cols>
    <col min="1" max="1" width="11.1666666666667" customWidth="1"/>
    <col min="2" max="2" width="28" style="12" customWidth="1"/>
    <col min="3" max="3" width="35.3333333333333" style="12" customWidth="1"/>
    <col min="4" max="4" width="12.125" style="12" customWidth="1"/>
    <col min="5" max="5" width="14.6666666666667" style="12" customWidth="1"/>
    <col min="6" max="6" width="12.875" style="12" customWidth="1"/>
    <col min="7" max="7" width="28.25" style="12" customWidth="1"/>
  </cols>
  <sheetData>
    <row r="1" ht="35.25" customHeight="1" spans="1:7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6</v>
      </c>
    </row>
    <row r="2" ht="27" spans="1:7">
      <c r="A2" s="58" t="s">
        <v>33</v>
      </c>
      <c r="B2" s="59" t="s">
        <v>34</v>
      </c>
      <c r="C2" s="59" t="s">
        <v>35</v>
      </c>
      <c r="D2" s="59" t="s">
        <v>36</v>
      </c>
      <c r="E2" s="59" t="s">
        <v>37</v>
      </c>
      <c r="F2" s="2" t="s">
        <v>38</v>
      </c>
      <c r="G2" s="2" t="s">
        <v>39</v>
      </c>
    </row>
    <row r="3" ht="37.25" customHeight="1" spans="1:7">
      <c r="A3" s="58"/>
      <c r="B3" s="59"/>
      <c r="C3" s="59"/>
      <c r="D3" s="59"/>
      <c r="E3" s="59" t="s">
        <v>40</v>
      </c>
      <c r="F3" s="2" t="s">
        <v>38</v>
      </c>
      <c r="G3" s="2" t="s">
        <v>41</v>
      </c>
    </row>
    <row r="4" ht="44" customHeight="1" spans="1:7">
      <c r="A4" s="58"/>
      <c r="B4" s="59"/>
      <c r="C4" s="59"/>
      <c r="D4" s="59"/>
      <c r="E4" s="59" t="s">
        <v>42</v>
      </c>
      <c r="F4" s="2" t="s">
        <v>43</v>
      </c>
      <c r="G4" s="2" t="s">
        <v>44</v>
      </c>
    </row>
    <row r="5" ht="27" spans="1:7">
      <c r="A5" s="58" t="s">
        <v>45</v>
      </c>
      <c r="B5" s="59" t="s">
        <v>46</v>
      </c>
      <c r="C5" s="59" t="s">
        <v>47</v>
      </c>
      <c r="D5" s="59" t="s">
        <v>36</v>
      </c>
      <c r="E5" s="59" t="s">
        <v>37</v>
      </c>
      <c r="F5" s="2" t="s">
        <v>38</v>
      </c>
      <c r="G5" s="2" t="s">
        <v>39</v>
      </c>
    </row>
    <row r="6" ht="27" spans="1:7">
      <c r="A6" s="58"/>
      <c r="B6" s="59"/>
      <c r="C6" s="59"/>
      <c r="D6" s="59"/>
      <c r="E6" s="59" t="s">
        <v>40</v>
      </c>
      <c r="F6" s="2" t="s">
        <v>38</v>
      </c>
      <c r="G6" s="2" t="s">
        <v>41</v>
      </c>
    </row>
    <row r="7" ht="49.5" customHeight="1" spans="1:7">
      <c r="A7" s="58"/>
      <c r="B7" s="59"/>
      <c r="C7" s="59"/>
      <c r="D7" s="59"/>
      <c r="E7" s="59" t="s">
        <v>42</v>
      </c>
      <c r="F7" s="2" t="s">
        <v>43</v>
      </c>
      <c r="G7" s="2" t="s">
        <v>44</v>
      </c>
    </row>
    <row r="8" ht="27" spans="1:7">
      <c r="A8" s="58" t="s">
        <v>48</v>
      </c>
      <c r="B8" s="59" t="s">
        <v>49</v>
      </c>
      <c r="C8" s="59" t="s">
        <v>50</v>
      </c>
      <c r="D8" s="59" t="s">
        <v>36</v>
      </c>
      <c r="E8" s="59" t="s">
        <v>37</v>
      </c>
      <c r="F8" s="2" t="s">
        <v>38</v>
      </c>
      <c r="G8" s="2" t="s">
        <v>39</v>
      </c>
    </row>
    <row r="9" ht="27" spans="1:7">
      <c r="A9" s="58"/>
      <c r="B9" s="59"/>
      <c r="C9" s="59"/>
      <c r="D9" s="59"/>
      <c r="E9" s="59" t="s">
        <v>40</v>
      </c>
      <c r="F9" s="2" t="s">
        <v>38</v>
      </c>
      <c r="G9" s="2" t="s">
        <v>41</v>
      </c>
    </row>
    <row r="10" ht="40.5" spans="1:7">
      <c r="A10" s="58"/>
      <c r="B10" s="59"/>
      <c r="C10" s="59"/>
      <c r="D10" s="59"/>
      <c r="E10" s="59" t="s">
        <v>42</v>
      </c>
      <c r="F10" s="2" t="s">
        <v>43</v>
      </c>
      <c r="G10" s="2" t="s">
        <v>44</v>
      </c>
    </row>
    <row r="11" ht="54" spans="1:7">
      <c r="A11" s="7" t="s">
        <v>51</v>
      </c>
      <c r="B11" s="2" t="s">
        <v>52</v>
      </c>
      <c r="C11" s="2" t="s">
        <v>53</v>
      </c>
      <c r="D11" s="2" t="s">
        <v>36</v>
      </c>
      <c r="E11" s="59" t="s">
        <v>37</v>
      </c>
      <c r="F11" s="2" t="s">
        <v>38</v>
      </c>
      <c r="G11" s="2" t="s">
        <v>39</v>
      </c>
    </row>
    <row r="12" ht="54" spans="1:7">
      <c r="A12" s="7"/>
      <c r="B12" s="2"/>
      <c r="C12" s="2"/>
      <c r="D12" s="2"/>
      <c r="E12" s="59" t="s">
        <v>40</v>
      </c>
      <c r="F12" s="2" t="s">
        <v>43</v>
      </c>
      <c r="G12" s="2" t="s">
        <v>54</v>
      </c>
    </row>
    <row r="13" ht="40.5" spans="1:7">
      <c r="A13" s="7"/>
      <c r="B13" s="2"/>
      <c r="C13" s="2"/>
      <c r="D13" s="2"/>
      <c r="E13" s="59" t="s">
        <v>42</v>
      </c>
      <c r="F13" s="2" t="s">
        <v>43</v>
      </c>
      <c r="G13" s="2" t="s">
        <v>55</v>
      </c>
    </row>
    <row r="14" spans="1:7">
      <c r="A14" s="7" t="s">
        <v>56</v>
      </c>
      <c r="B14" s="17"/>
      <c r="C14" s="17"/>
      <c r="D14" s="17"/>
      <c r="E14" s="17"/>
      <c r="F14" s="17"/>
      <c r="G14" s="17"/>
    </row>
    <row r="15" spans="1:7">
      <c r="A15" s="7" t="s">
        <v>57</v>
      </c>
      <c r="B15" s="17"/>
      <c r="C15" s="17"/>
      <c r="D15" s="17"/>
      <c r="E15" s="17"/>
      <c r="F15" s="17"/>
      <c r="G15" s="17"/>
    </row>
    <row r="16" spans="1:7">
      <c r="A16" s="7" t="s">
        <v>58</v>
      </c>
      <c r="B16" s="17"/>
      <c r="C16" s="17"/>
      <c r="D16" s="17"/>
      <c r="E16" s="17"/>
      <c r="F16" s="17"/>
      <c r="G16" s="17"/>
    </row>
    <row r="17" spans="1:7">
      <c r="A17" s="7" t="s">
        <v>59</v>
      </c>
      <c r="B17" s="17"/>
      <c r="C17" s="17"/>
      <c r="D17" s="17"/>
      <c r="E17" s="17"/>
      <c r="F17" s="17"/>
      <c r="G17" s="17"/>
    </row>
    <row r="18" spans="1:7">
      <c r="A18" s="7" t="s">
        <v>60</v>
      </c>
      <c r="B18" s="17"/>
      <c r="C18" s="17"/>
      <c r="D18" s="17"/>
      <c r="E18" s="17"/>
      <c r="F18" s="17"/>
      <c r="G18" s="17"/>
    </row>
    <row r="19" spans="1:7">
      <c r="A19" s="13"/>
    </row>
  </sheetData>
  <sheetProtection formatCells="0" formatColumns="0" formatRows="0" insertRows="0" insertColumns="0" insertHyperlinks="0" deleteColumns="0" deleteRows="0" sort="0" autoFilter="0" pivotTables="0"/>
  <mergeCells count="12">
    <mergeCell ref="A2:A4"/>
    <mergeCell ref="A5:A7"/>
    <mergeCell ref="A8:A10"/>
    <mergeCell ref="B2:B4"/>
    <mergeCell ref="B5:B7"/>
    <mergeCell ref="B8:B10"/>
    <mergeCell ref="C2:C4"/>
    <mergeCell ref="C5:C7"/>
    <mergeCell ref="C8:C10"/>
    <mergeCell ref="D2:D4"/>
    <mergeCell ref="D5:D7"/>
    <mergeCell ref="D8:D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workbookViewId="0">
      <pane ySplit="2" topLeftCell="A2" activePane="bottomLeft" state="frozen"/>
      <selection/>
      <selection pane="bottomLeft" activeCell="H2" sqref="H$1:H$1048576"/>
    </sheetView>
  </sheetViews>
  <sheetFormatPr defaultColWidth="9" defaultRowHeight="13.5"/>
  <cols>
    <col min="1" max="2" width="12" customWidth="1"/>
    <col min="3" max="3" width="19" customWidth="1"/>
    <col min="4" max="4" width="26" style="56" customWidth="1"/>
    <col min="5" max="5" width="52" customWidth="1"/>
    <col min="6" max="7" width="12" style="11" customWidth="1"/>
  </cols>
  <sheetData>
    <row r="1" spans="1:9">
      <c r="A1" s="13" t="s">
        <v>61</v>
      </c>
    </row>
    <row r="2" spans="1:9">
      <c r="A2" s="1" t="s">
        <v>62</v>
      </c>
      <c r="B2" s="1" t="s">
        <v>63</v>
      </c>
      <c r="C2" s="1" t="s">
        <v>64</v>
      </c>
      <c r="D2" s="21" t="s">
        <v>65</v>
      </c>
      <c r="E2" s="1" t="s">
        <v>66</v>
      </c>
      <c r="F2" s="21" t="s">
        <v>67</v>
      </c>
      <c r="G2" s="21" t="s">
        <v>68</v>
      </c>
      <c r="H2" s="13" t="s">
        <v>69</v>
      </c>
      <c r="I2" s="13" t="s">
        <v>70</v>
      </c>
    </row>
    <row r="3" ht="40.5" spans="1:9">
      <c r="A3" s="4"/>
      <c r="B3" s="2" t="s">
        <v>71</v>
      </c>
      <c r="C3" s="4"/>
      <c r="D3" s="57"/>
      <c r="E3" s="17" t="s">
        <v>72</v>
      </c>
      <c r="F3" s="26"/>
      <c r="G3" s="26"/>
    </row>
    <row r="4" ht="27" spans="1:9">
      <c r="A4" s="4"/>
      <c r="B4" s="2" t="s">
        <v>73</v>
      </c>
      <c r="C4" s="4"/>
      <c r="D4" s="57"/>
      <c r="E4" s="17" t="s">
        <v>74</v>
      </c>
      <c r="F4" s="26"/>
      <c r="G4" s="26"/>
    </row>
    <row r="5" ht="27" spans="1:9">
      <c r="A5" s="4"/>
      <c r="B5" s="2" t="s">
        <v>75</v>
      </c>
      <c r="C5" s="4"/>
      <c r="D5" s="57"/>
      <c r="E5" s="17" t="s">
        <v>76</v>
      </c>
      <c r="F5" s="26"/>
      <c r="G5" s="26"/>
    </row>
    <row r="6" ht="27" spans="1:9">
      <c r="A6" s="4"/>
      <c r="B6" s="2" t="s">
        <v>77</v>
      </c>
      <c r="C6" s="4"/>
      <c r="D6" s="57"/>
      <c r="E6" s="17" t="s">
        <v>78</v>
      </c>
      <c r="F6" s="26"/>
      <c r="G6" s="26"/>
    </row>
    <row r="7" ht="27" spans="1:9">
      <c r="A7" s="4"/>
      <c r="B7" s="2" t="s">
        <v>79</v>
      </c>
      <c r="C7" s="4"/>
      <c r="D7" s="57"/>
      <c r="E7" s="17" t="s">
        <v>80</v>
      </c>
      <c r="F7" s="26"/>
      <c r="G7" s="26"/>
    </row>
    <row r="8" ht="40.5" spans="1:9">
      <c r="A8" s="4"/>
      <c r="B8" s="41" t="s">
        <v>81</v>
      </c>
      <c r="C8" s="4"/>
      <c r="D8" s="57"/>
      <c r="E8" s="41" t="s">
        <v>82</v>
      </c>
      <c r="F8" s="26"/>
      <c r="G8" s="26"/>
    </row>
    <row r="9" ht="40.5" spans="1:9">
      <c r="A9" s="4"/>
      <c r="B9" s="2" t="s">
        <v>83</v>
      </c>
      <c r="C9" s="4"/>
      <c r="D9" s="57"/>
      <c r="E9" s="2" t="s">
        <v>84</v>
      </c>
      <c r="F9" s="26"/>
      <c r="G9" s="26"/>
    </row>
    <row r="10" ht="40.5" spans="1:9">
      <c r="A10" s="4"/>
      <c r="B10" s="2" t="s">
        <v>85</v>
      </c>
      <c r="C10" s="4"/>
      <c r="D10" s="57"/>
      <c r="E10" s="43" t="s">
        <v>86</v>
      </c>
      <c r="F10" s="26"/>
      <c r="G10" s="26"/>
    </row>
    <row r="11" ht="27" spans="1:9">
      <c r="A11" s="4"/>
      <c r="B11" s="2" t="s">
        <v>87</v>
      </c>
      <c r="C11" s="4"/>
      <c r="D11" s="57"/>
      <c r="E11" s="2" t="s">
        <v>88</v>
      </c>
      <c r="F11" s="26"/>
      <c r="G11" s="26"/>
    </row>
    <row r="12" ht="27" spans="1:9">
      <c r="A12" s="4"/>
      <c r="B12" s="2" t="s">
        <v>89</v>
      </c>
      <c r="C12" s="4"/>
      <c r="D12" s="57"/>
      <c r="E12" s="2" t="s">
        <v>90</v>
      </c>
      <c r="F12" s="26"/>
      <c r="G12" s="26"/>
    </row>
    <row r="13" spans="1:9">
      <c r="A13" s="4"/>
      <c r="B13" s="4"/>
      <c r="C13" s="4"/>
      <c r="D13" s="57"/>
      <c r="E13" s="4"/>
      <c r="F13" s="26"/>
      <c r="G13" s="26"/>
    </row>
    <row r="14" spans="1:9">
      <c r="A14" s="4"/>
      <c r="B14" s="4"/>
      <c r="C14" s="4"/>
      <c r="D14" s="57"/>
      <c r="E14" s="4"/>
      <c r="F14" s="26"/>
      <c r="G14" s="26"/>
    </row>
    <row r="15" spans="1:9">
      <c r="A15" s="4"/>
      <c r="B15" s="4"/>
      <c r="C15" s="4"/>
      <c r="D15" s="57"/>
      <c r="E15" s="4"/>
      <c r="F15" s="26"/>
      <c r="G15" s="26"/>
    </row>
    <row r="16" spans="1:9">
      <c r="A16" s="4"/>
      <c r="B16" s="4"/>
      <c r="C16" s="4"/>
      <c r="D16" s="57"/>
      <c r="E16" s="4"/>
      <c r="F16" s="26"/>
      <c r="G16" s="26"/>
    </row>
    <row r="17" spans="1:7">
      <c r="A17" s="4"/>
      <c r="B17" s="4"/>
      <c r="C17" s="4"/>
      <c r="D17" s="57"/>
      <c r="E17" s="4"/>
      <c r="F17" s="26"/>
      <c r="G17" s="26"/>
    </row>
    <row r="18" spans="1:7">
      <c r="A18" s="4"/>
      <c r="B18" s="4"/>
      <c r="C18" s="4"/>
      <c r="D18" s="57"/>
      <c r="E18" s="4"/>
      <c r="F18" s="26"/>
      <c r="G18" s="26"/>
    </row>
    <row r="19" spans="1:7">
      <c r="A19" s="4"/>
      <c r="B19" s="4"/>
      <c r="C19" s="4"/>
      <c r="D19" s="57"/>
      <c r="E19" s="4"/>
      <c r="F19" s="26"/>
      <c r="G19" s="26"/>
    </row>
    <row r="20" spans="1:7">
      <c r="A20" s="4"/>
      <c r="B20" s="4"/>
      <c r="C20" s="4"/>
      <c r="D20" s="57"/>
      <c r="E20" s="4"/>
      <c r="F20" s="26"/>
      <c r="G20" s="26"/>
    </row>
    <row r="21" spans="1:7">
      <c r="A21" s="4"/>
      <c r="B21" s="4"/>
      <c r="C21" s="4"/>
      <c r="D21" s="57"/>
      <c r="E21" s="4"/>
      <c r="F21" s="26"/>
      <c r="G21" s="26"/>
    </row>
    <row r="22" spans="1:7">
      <c r="A22" s="4"/>
      <c r="B22" s="4"/>
      <c r="C22" s="4"/>
      <c r="D22" s="57"/>
      <c r="E22" s="4"/>
      <c r="F22" s="26"/>
      <c r="G22" s="26"/>
    </row>
    <row r="23" spans="1:7">
      <c r="A23" s="4"/>
      <c r="B23" s="4"/>
      <c r="C23" s="4"/>
      <c r="D23" s="57"/>
      <c r="E23" s="4"/>
      <c r="F23" s="26"/>
      <c r="G23" s="26"/>
    </row>
    <row r="24" spans="1:7">
      <c r="A24" s="4"/>
      <c r="B24" s="4"/>
      <c r="C24" s="4"/>
      <c r="D24" s="57"/>
      <c r="E24" s="4"/>
      <c r="F24" s="26"/>
      <c r="G24" s="26"/>
    </row>
    <row r="25" spans="1:7">
      <c r="A25" s="4"/>
      <c r="B25" s="4"/>
      <c r="C25" s="4"/>
      <c r="D25" s="57"/>
      <c r="E25" s="4"/>
      <c r="F25" s="26"/>
      <c r="G25" s="26"/>
    </row>
    <row r="26" spans="1:7">
      <c r="A26" s="4"/>
      <c r="B26" s="4"/>
      <c r="C26" s="4"/>
      <c r="D26" s="57"/>
      <c r="E26" s="4"/>
      <c r="F26" s="26"/>
      <c r="G26" s="26"/>
    </row>
    <row r="27" spans="1:7">
      <c r="A27" s="4"/>
      <c r="B27" s="4"/>
      <c r="C27" s="4"/>
      <c r="D27" s="57"/>
      <c r="E27" s="4"/>
      <c r="F27" s="26"/>
      <c r="G27" s="26"/>
    </row>
    <row r="28" spans="1:7">
      <c r="A28" s="4"/>
      <c r="B28" s="4"/>
      <c r="C28" s="4"/>
      <c r="D28" s="57"/>
      <c r="E28" s="4"/>
      <c r="F28" s="26"/>
      <c r="G28" s="26"/>
    </row>
    <row r="29" spans="1:7">
      <c r="A29" s="4"/>
      <c r="B29" s="4"/>
      <c r="C29" s="4"/>
      <c r="D29" s="57"/>
      <c r="E29" s="4"/>
      <c r="F29" s="26"/>
      <c r="G29" s="26"/>
    </row>
    <row r="30" spans="1:7">
      <c r="A30" s="4"/>
      <c r="B30" s="4"/>
      <c r="C30" s="4"/>
      <c r="D30" s="57"/>
      <c r="E30" s="4"/>
      <c r="F30" s="26"/>
      <c r="G30" s="26"/>
    </row>
    <row r="31" spans="1:7">
      <c r="A31" s="4"/>
      <c r="B31" s="4"/>
      <c r="C31" s="4"/>
      <c r="D31" s="57"/>
      <c r="E31" s="4"/>
      <c r="F31" s="26"/>
      <c r="G31" s="26"/>
    </row>
    <row r="32" spans="1:7">
      <c r="A32" s="4"/>
      <c r="B32" s="4"/>
      <c r="C32" s="4"/>
      <c r="D32" s="57"/>
      <c r="E32" s="4"/>
      <c r="F32" s="26"/>
      <c r="G32" s="26"/>
    </row>
    <row r="33" spans="1:7">
      <c r="A33" s="4"/>
      <c r="B33" s="4"/>
      <c r="C33" s="4"/>
      <c r="D33" s="57"/>
      <c r="E33" s="4"/>
      <c r="F33" s="26"/>
      <c r="G33" s="26"/>
    </row>
    <row r="34" spans="1:7">
      <c r="A34" s="4"/>
      <c r="B34" s="4"/>
      <c r="C34" s="4"/>
      <c r="D34" s="57"/>
      <c r="E34" s="4"/>
      <c r="F34" s="26"/>
      <c r="G34" s="26"/>
    </row>
    <row r="35" spans="1:7">
      <c r="A35" s="4"/>
      <c r="B35" s="4"/>
      <c r="C35" s="4"/>
      <c r="D35" s="57"/>
      <c r="E35" s="4"/>
      <c r="F35" s="26"/>
      <c r="G35" s="26"/>
    </row>
    <row r="36" spans="1:7">
      <c r="A36" s="4"/>
      <c r="B36" s="4"/>
      <c r="C36" s="4"/>
      <c r="D36" s="57"/>
      <c r="E36" s="4"/>
      <c r="F36" s="26"/>
      <c r="G36" s="26"/>
    </row>
    <row r="37" spans="1:7">
      <c r="A37" s="4"/>
      <c r="B37" s="4"/>
      <c r="C37" s="4"/>
      <c r="D37" s="57"/>
      <c r="E37" s="4"/>
      <c r="F37" s="26"/>
      <c r="G37" s="26"/>
    </row>
    <row r="38" spans="1:7">
      <c r="A38" s="4"/>
      <c r="B38" s="4"/>
      <c r="C38" s="4"/>
      <c r="D38" s="57"/>
      <c r="E38" s="4"/>
      <c r="F38" s="26"/>
      <c r="G38" s="26"/>
    </row>
    <row r="39" spans="1:7">
      <c r="A39" s="4"/>
      <c r="B39" s="4"/>
      <c r="C39" s="4"/>
      <c r="D39" s="57"/>
      <c r="E39" s="4"/>
      <c r="F39" s="26"/>
      <c r="G39" s="26"/>
    </row>
    <row r="40" spans="1:7">
      <c r="A40" s="4"/>
      <c r="B40" s="4"/>
      <c r="C40" s="4"/>
      <c r="D40" s="57"/>
      <c r="E40" s="4"/>
      <c r="F40" s="26"/>
      <c r="G40" s="26"/>
    </row>
    <row r="41" spans="1:7">
      <c r="A41" s="4"/>
      <c r="B41" s="4"/>
      <c r="C41" s="4"/>
      <c r="D41" s="57"/>
      <c r="E41" s="4"/>
      <c r="F41" s="26"/>
      <c r="G41" s="26"/>
    </row>
    <row r="42" spans="1:7">
      <c r="A42" s="4"/>
      <c r="B42" s="4"/>
      <c r="C42" s="4"/>
      <c r="D42" s="57"/>
      <c r="E42" s="4"/>
      <c r="F42" s="26"/>
      <c r="G42" s="2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G42" etc:filterBottomFollowUsedRange="1">
    <extLst/>
  </autoFilter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3" workbookViewId="0">
      <selection activeCell="G3" sqref="G3:G7"/>
    </sheetView>
  </sheetViews>
  <sheetFormatPr defaultColWidth="9" defaultRowHeight="13.5" outlineLevelCol="6"/>
  <cols>
    <col min="1" max="2" width="12" customWidth="1"/>
    <col min="3" max="3" width="52" customWidth="1"/>
    <col min="4" max="4" width="15.875" customWidth="1"/>
    <col min="5" max="7" width="12" style="11" customWidth="1"/>
  </cols>
  <sheetData>
    <row r="1" spans="1:7">
      <c r="A1" s="13" t="s">
        <v>91</v>
      </c>
      <c r="B1" s="13"/>
    </row>
    <row r="2" spans="1:7">
      <c r="A2" s="1" t="s">
        <v>92</v>
      </c>
      <c r="B2" s="1" t="s">
        <v>93</v>
      </c>
      <c r="C2" s="1" t="s">
        <v>94</v>
      </c>
      <c r="D2" s="1" t="s">
        <v>95</v>
      </c>
      <c r="E2" s="21" t="s">
        <v>96</v>
      </c>
      <c r="F2" s="21" t="s">
        <v>97</v>
      </c>
      <c r="G2" s="21" t="s">
        <v>68</v>
      </c>
    </row>
    <row r="3" ht="40.5" spans="1:7">
      <c r="A3" s="5" t="s">
        <v>98</v>
      </c>
      <c r="B3" s="4" t="s">
        <v>99</v>
      </c>
      <c r="C3" s="4" t="s">
        <v>100</v>
      </c>
      <c r="D3" s="4"/>
      <c r="E3" s="26" t="s">
        <v>101</v>
      </c>
      <c r="F3" s="26" t="s">
        <v>102</v>
      </c>
      <c r="G3" s="26" t="s">
        <v>103</v>
      </c>
    </row>
    <row r="4" ht="40.5" spans="1:7">
      <c r="A4" s="5" t="s">
        <v>104</v>
      </c>
      <c r="B4" s="4" t="s">
        <v>105</v>
      </c>
      <c r="C4" s="4" t="s">
        <v>106</v>
      </c>
      <c r="D4" s="4"/>
      <c r="E4" s="26" t="s">
        <v>107</v>
      </c>
      <c r="F4" s="26" t="s">
        <v>108</v>
      </c>
      <c r="G4" s="26" t="s">
        <v>103</v>
      </c>
    </row>
    <row r="5" ht="40.5" spans="1:7">
      <c r="A5" s="5" t="s">
        <v>109</v>
      </c>
      <c r="B5" s="4" t="s">
        <v>110</v>
      </c>
      <c r="C5" s="4" t="s">
        <v>111</v>
      </c>
      <c r="D5" s="4"/>
      <c r="E5" s="26" t="s">
        <v>112</v>
      </c>
      <c r="F5" s="26" t="s">
        <v>113</v>
      </c>
      <c r="G5" s="26" t="s">
        <v>114</v>
      </c>
    </row>
    <row r="6" ht="40.5" spans="1:7">
      <c r="A6" s="5" t="s">
        <v>115</v>
      </c>
      <c r="B6" s="4" t="s">
        <v>116</v>
      </c>
      <c r="C6" s="4" t="s">
        <v>117</v>
      </c>
      <c r="D6" s="4"/>
      <c r="E6" s="26" t="s">
        <v>118</v>
      </c>
      <c r="F6" s="26" t="s">
        <v>119</v>
      </c>
      <c r="G6" s="26" t="s">
        <v>120</v>
      </c>
    </row>
    <row r="7" ht="40.5" spans="1:7">
      <c r="A7" s="5" t="s">
        <v>121</v>
      </c>
      <c r="B7" s="4" t="s">
        <v>122</v>
      </c>
      <c r="C7" s="4" t="s">
        <v>123</v>
      </c>
      <c r="D7" s="4"/>
      <c r="E7" s="26" t="s">
        <v>124</v>
      </c>
      <c r="F7" s="26" t="s">
        <v>102</v>
      </c>
      <c r="G7" s="26" t="s">
        <v>125</v>
      </c>
    </row>
    <row r="8" ht="40.5" spans="1:7">
      <c r="A8" s="5" t="s">
        <v>126</v>
      </c>
      <c r="B8" s="4" t="s">
        <v>127</v>
      </c>
      <c r="C8" s="4" t="s">
        <v>128</v>
      </c>
      <c r="D8" s="4"/>
      <c r="E8" s="26" t="s">
        <v>129</v>
      </c>
      <c r="F8" s="26" t="s">
        <v>130</v>
      </c>
      <c r="G8" s="26" t="s">
        <v>131</v>
      </c>
    </row>
    <row r="9" ht="40.5" spans="1:7">
      <c r="A9" s="5" t="s">
        <v>132</v>
      </c>
      <c r="B9" s="4" t="s">
        <v>133</v>
      </c>
      <c r="C9" s="4" t="s">
        <v>134</v>
      </c>
      <c r="D9" s="4"/>
      <c r="E9" s="26" t="s">
        <v>135</v>
      </c>
      <c r="F9" s="26" t="s">
        <v>136</v>
      </c>
      <c r="G9" s="26" t="s">
        <v>125</v>
      </c>
    </row>
    <row r="10" ht="40.5" spans="1:7">
      <c r="A10" s="5" t="s">
        <v>137</v>
      </c>
      <c r="B10" s="4" t="s">
        <v>138</v>
      </c>
      <c r="C10" s="5" t="s">
        <v>139</v>
      </c>
      <c r="D10" s="26"/>
      <c r="E10" s="26" t="s">
        <v>140</v>
      </c>
    </row>
    <row r="11" spans="1:7">
      <c r="A11" s="4"/>
      <c r="B11" s="4"/>
      <c r="C11" s="4"/>
      <c r="D11" s="4"/>
      <c r="E11" s="26"/>
      <c r="F11" s="26"/>
      <c r="G11" s="26"/>
    </row>
    <row r="12" spans="1:7">
      <c r="A12" s="4"/>
      <c r="B12" s="4"/>
      <c r="C12" s="4"/>
      <c r="D12" s="4"/>
      <c r="E12" s="26"/>
      <c r="F12" s="26"/>
      <c r="G12" s="26"/>
    </row>
    <row r="13" spans="1:7">
      <c r="A13" s="4"/>
      <c r="B13" s="4"/>
      <c r="C13" s="4"/>
      <c r="D13" s="4"/>
      <c r="E13" s="26"/>
      <c r="F13" s="26"/>
      <c r="G13" s="26"/>
    </row>
    <row r="14" spans="1:7">
      <c r="A14" s="4"/>
      <c r="B14" s="4"/>
      <c r="C14" s="4"/>
      <c r="D14" s="4"/>
      <c r="E14" s="26"/>
      <c r="F14" s="26"/>
      <c r="G14" s="26"/>
    </row>
    <row r="15" spans="1:7">
      <c r="A15" s="4"/>
      <c r="B15" s="4"/>
      <c r="C15" s="4"/>
      <c r="D15" s="4"/>
      <c r="E15" s="26"/>
      <c r="F15" s="26"/>
      <c r="G15" s="26"/>
    </row>
    <row r="16" spans="1:7">
      <c r="A16" s="4"/>
      <c r="B16" s="4"/>
      <c r="C16" s="4"/>
      <c r="D16" s="4"/>
      <c r="E16" s="26"/>
      <c r="F16" s="26"/>
      <c r="G16" s="26"/>
    </row>
    <row r="17" spans="1:7">
      <c r="A17" s="4"/>
      <c r="B17" s="4"/>
      <c r="C17" s="4"/>
      <c r="D17" s="4"/>
      <c r="E17" s="26"/>
      <c r="F17" s="26"/>
      <c r="G17" s="26"/>
    </row>
    <row r="18" spans="1:7">
      <c r="A18" s="4"/>
      <c r="B18" s="4"/>
      <c r="C18" s="4"/>
      <c r="D18" s="4"/>
      <c r="E18" s="26"/>
      <c r="F18" s="26"/>
      <c r="G18" s="26"/>
    </row>
    <row r="19" spans="1:7">
      <c r="A19" s="4"/>
      <c r="B19" s="4"/>
      <c r="C19" s="4"/>
      <c r="D19" s="4"/>
      <c r="E19" s="26"/>
      <c r="F19" s="26"/>
      <c r="G19" s="26"/>
    </row>
    <row r="20" spans="1:7">
      <c r="A20" s="4"/>
      <c r="B20" s="4"/>
      <c r="C20" s="4"/>
      <c r="D20" s="4"/>
      <c r="E20" s="26"/>
      <c r="F20" s="26"/>
      <c r="G20" s="26"/>
    </row>
    <row r="21" spans="1:7">
      <c r="A21" s="4"/>
      <c r="B21" s="4"/>
      <c r="C21" s="4"/>
      <c r="D21" s="4"/>
      <c r="E21" s="26"/>
      <c r="F21" s="26"/>
      <c r="G21" s="26"/>
    </row>
    <row r="22" spans="1:7">
      <c r="A22" s="4"/>
      <c r="B22" s="4"/>
      <c r="C22" s="4"/>
      <c r="D22" s="4"/>
      <c r="E22" s="26"/>
      <c r="F22" s="26"/>
      <c r="G22" s="26"/>
    </row>
    <row r="23" spans="1:7">
      <c r="A23" s="4"/>
      <c r="B23" s="4"/>
      <c r="C23" s="4"/>
      <c r="D23" s="4"/>
      <c r="E23" s="26"/>
      <c r="F23" s="26"/>
      <c r="G23" s="26"/>
    </row>
    <row r="24" spans="1:7">
      <c r="A24" s="4"/>
      <c r="B24" s="4"/>
      <c r="C24" s="4"/>
      <c r="D24" s="4"/>
      <c r="E24" s="26"/>
      <c r="F24" s="26"/>
      <c r="G24" s="26"/>
    </row>
    <row r="25" spans="1:7">
      <c r="A25" s="4"/>
      <c r="B25" s="4"/>
      <c r="C25" s="4"/>
      <c r="D25" s="4"/>
      <c r="E25" s="26"/>
      <c r="F25" s="26"/>
      <c r="G25" s="26"/>
    </row>
    <row r="26" spans="1:7">
      <c r="A26" s="4"/>
      <c r="B26" s="4"/>
      <c r="C26" s="4"/>
      <c r="D26" s="4"/>
      <c r="E26" s="26"/>
      <c r="F26" s="26"/>
      <c r="G26" s="26"/>
    </row>
    <row r="27" spans="1:7">
      <c r="A27" s="4"/>
      <c r="B27" s="4"/>
      <c r="C27" s="4"/>
      <c r="D27" s="4"/>
      <c r="E27" s="26"/>
      <c r="F27" s="26"/>
      <c r="G27" s="26"/>
    </row>
    <row r="28" spans="1:7">
      <c r="A28" s="4"/>
      <c r="B28" s="4"/>
      <c r="C28" s="4"/>
      <c r="D28" s="4"/>
      <c r="E28" s="26"/>
      <c r="F28" s="26"/>
      <c r="G28" s="26"/>
    </row>
    <row r="29" spans="1:7">
      <c r="A29" s="4"/>
      <c r="B29" s="4"/>
      <c r="C29" s="4"/>
      <c r="D29" s="4"/>
      <c r="E29" s="26"/>
      <c r="F29" s="26"/>
      <c r="G29" s="26"/>
    </row>
    <row r="30" spans="1:7">
      <c r="A30" s="4"/>
      <c r="B30" s="4"/>
      <c r="C30" s="4"/>
      <c r="D30" s="4"/>
      <c r="E30" s="26"/>
      <c r="F30" s="26"/>
      <c r="G30" s="26"/>
    </row>
    <row r="31" spans="1:7">
      <c r="A31" s="4"/>
      <c r="B31" s="4"/>
      <c r="C31" s="4"/>
      <c r="D31" s="4"/>
      <c r="E31" s="26"/>
      <c r="F31" s="26"/>
      <c r="G31" s="26"/>
    </row>
    <row r="32" spans="1:7">
      <c r="A32" s="4"/>
      <c r="B32" s="4"/>
      <c r="C32" s="4"/>
      <c r="D32" s="4"/>
      <c r="E32" s="26"/>
      <c r="F32" s="26"/>
      <c r="G32" s="26"/>
    </row>
    <row r="33" spans="1:7">
      <c r="A33" s="4"/>
      <c r="B33" s="4"/>
      <c r="C33" s="4"/>
      <c r="D33" s="4"/>
      <c r="E33" s="26"/>
      <c r="F33" s="26"/>
      <c r="G33" s="26"/>
    </row>
    <row r="34" spans="1:7">
      <c r="A34" s="4"/>
      <c r="B34" s="4"/>
      <c r="C34" s="4"/>
      <c r="D34" s="4"/>
      <c r="E34" s="26"/>
      <c r="F34" s="26"/>
      <c r="G34" s="26"/>
    </row>
    <row r="35" spans="1:7">
      <c r="A35" s="4"/>
      <c r="B35" s="4"/>
      <c r="C35" s="4"/>
      <c r="D35" s="4"/>
      <c r="E35" s="26"/>
      <c r="F35" s="26"/>
      <c r="G35" s="26"/>
    </row>
    <row r="36" spans="1:7">
      <c r="A36" s="4"/>
      <c r="B36" s="4"/>
      <c r="C36" s="4"/>
      <c r="D36" s="4"/>
      <c r="E36" s="26"/>
      <c r="F36" s="26"/>
      <c r="G36" s="2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G36" etc:filterBottomFollowUsedRange="1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pane xSplit="4" ySplit="2" topLeftCell="D7" activePane="bottomRight" state="frozen"/>
      <selection/>
      <selection pane="topRight"/>
      <selection pane="bottomLeft"/>
      <selection pane="bottomRight" activeCell="D11" sqref="D11:D12"/>
    </sheetView>
  </sheetViews>
  <sheetFormatPr defaultColWidth="9" defaultRowHeight="13.5" outlineLevelCol="6"/>
  <cols>
    <col min="1" max="1" width="12.625" customWidth="1"/>
    <col min="2" max="2" width="15.625" customWidth="1"/>
    <col min="3" max="3" width="12.625" customWidth="1"/>
    <col min="4" max="4" width="17.1666666666667" style="11" customWidth="1"/>
    <col min="5" max="5" width="43" style="12" customWidth="1"/>
    <col min="6" max="6" width="15.5" style="11" customWidth="1"/>
    <col min="7" max="7" width="45" customWidth="1"/>
  </cols>
  <sheetData>
    <row r="1" spans="1:7">
      <c r="A1" s="27" t="s">
        <v>141</v>
      </c>
    </row>
    <row r="2" spans="1:7">
      <c r="A2" s="6" t="s">
        <v>142</v>
      </c>
      <c r="B2" s="6" t="s">
        <v>143</v>
      </c>
      <c r="C2" s="6" t="s">
        <v>142</v>
      </c>
      <c r="D2" s="14" t="s">
        <v>144</v>
      </c>
      <c r="E2" s="6" t="s">
        <v>145</v>
      </c>
      <c r="F2" s="14" t="s">
        <v>146</v>
      </c>
      <c r="G2" s="6" t="s">
        <v>147</v>
      </c>
    </row>
    <row r="3" ht="40.5" spans="1:7">
      <c r="A3" s="2" t="s">
        <v>148</v>
      </c>
      <c r="B3" s="2" t="s">
        <v>71</v>
      </c>
      <c r="C3" s="2" t="str">
        <f>A3</f>
        <v>BO0001</v>
      </c>
      <c r="D3" s="18"/>
      <c r="E3" s="17" t="s">
        <v>72</v>
      </c>
      <c r="F3" s="18"/>
      <c r="G3" s="2" t="s">
        <v>149</v>
      </c>
    </row>
    <row r="4" ht="40.5" spans="1:7">
      <c r="A4" s="2" t="s">
        <v>150</v>
      </c>
      <c r="B4" s="2" t="s">
        <v>73</v>
      </c>
      <c r="C4" s="2" t="str">
        <f t="shared" ref="C4:C15" si="0">A4</f>
        <v>BO0002</v>
      </c>
      <c r="D4" s="18"/>
      <c r="E4" s="17" t="s">
        <v>74</v>
      </c>
      <c r="F4" s="18"/>
      <c r="G4" s="2" t="s">
        <v>151</v>
      </c>
    </row>
    <row r="5" ht="40.5" spans="1:7">
      <c r="A5" s="2" t="s">
        <v>152</v>
      </c>
      <c r="B5" s="2" t="s">
        <v>75</v>
      </c>
      <c r="C5" s="2" t="str">
        <f t="shared" si="0"/>
        <v>BO0003</v>
      </c>
      <c r="D5" s="18"/>
      <c r="E5" s="17" t="s">
        <v>76</v>
      </c>
      <c r="F5" s="18"/>
      <c r="G5" s="2" t="s">
        <v>153</v>
      </c>
    </row>
    <row r="6" ht="40.5" spans="1:7">
      <c r="A6" s="2" t="s">
        <v>154</v>
      </c>
      <c r="B6" s="2" t="s">
        <v>77</v>
      </c>
      <c r="C6" s="2" t="str">
        <f t="shared" si="0"/>
        <v>BO0004</v>
      </c>
      <c r="D6" s="18"/>
      <c r="E6" s="17" t="s">
        <v>78</v>
      </c>
      <c r="F6" s="18"/>
      <c r="G6" s="2" t="s">
        <v>155</v>
      </c>
    </row>
    <row r="7" ht="40.5" spans="1:7">
      <c r="A7" s="2" t="s">
        <v>156</v>
      </c>
      <c r="B7" s="2" t="s">
        <v>79</v>
      </c>
      <c r="C7" s="2" t="str">
        <f t="shared" si="0"/>
        <v>BO0005</v>
      </c>
      <c r="D7" s="18"/>
      <c r="E7" s="17" t="s">
        <v>80</v>
      </c>
      <c r="F7" s="18"/>
      <c r="G7" s="2" t="s">
        <v>157</v>
      </c>
    </row>
    <row r="8" s="30" customFormat="1" ht="40.5" spans="1:7">
      <c r="A8" s="2" t="s">
        <v>158</v>
      </c>
      <c r="B8" s="41" t="s">
        <v>81</v>
      </c>
      <c r="C8" s="2" t="str">
        <f t="shared" si="0"/>
        <v>BO0006</v>
      </c>
      <c r="D8" s="42"/>
      <c r="E8" s="41" t="s">
        <v>82</v>
      </c>
      <c r="F8" s="42"/>
      <c r="G8" s="41" t="s">
        <v>159</v>
      </c>
    </row>
    <row r="9" ht="40.5" spans="1:7">
      <c r="A9" s="2" t="s">
        <v>160</v>
      </c>
      <c r="B9" s="2" t="s">
        <v>83</v>
      </c>
      <c r="C9" s="2" t="str">
        <f t="shared" si="0"/>
        <v>BO0007</v>
      </c>
      <c r="D9" s="18"/>
      <c r="E9" s="2" t="s">
        <v>84</v>
      </c>
      <c r="F9" s="18"/>
      <c r="G9" s="2" t="s">
        <v>161</v>
      </c>
    </row>
    <row r="10" ht="40.5" spans="1:7">
      <c r="A10" s="2" t="s">
        <v>162</v>
      </c>
      <c r="B10" s="2" t="s">
        <v>85</v>
      </c>
      <c r="C10" s="2" t="str">
        <f t="shared" si="0"/>
        <v>BO0008</v>
      </c>
      <c r="D10" s="18"/>
      <c r="E10" s="43" t="s">
        <v>86</v>
      </c>
      <c r="F10" s="18"/>
      <c r="G10" s="2" t="s">
        <v>163</v>
      </c>
    </row>
    <row r="11" ht="40.5" spans="1:7">
      <c r="A11" s="2" t="s">
        <v>164</v>
      </c>
      <c r="B11" s="2" t="s">
        <v>87</v>
      </c>
      <c r="C11" s="2" t="str">
        <f t="shared" si="0"/>
        <v>BO0009</v>
      </c>
      <c r="D11" s="18"/>
      <c r="E11" s="2" t="s">
        <v>88</v>
      </c>
      <c r="F11" s="18"/>
      <c r="G11" s="44" t="s">
        <v>165</v>
      </c>
    </row>
    <row r="12" ht="40.5" spans="1:7">
      <c r="A12" s="2" t="s">
        <v>166</v>
      </c>
      <c r="B12" s="2" t="s">
        <v>89</v>
      </c>
      <c r="C12" s="2" t="str">
        <f t="shared" si="0"/>
        <v>BO0010</v>
      </c>
      <c r="D12" s="18"/>
      <c r="E12" s="2" t="s">
        <v>90</v>
      </c>
      <c r="F12" s="18"/>
      <c r="G12" s="44" t="s">
        <v>165</v>
      </c>
    </row>
    <row r="13" ht="27" spans="1:7">
      <c r="A13" s="2" t="s">
        <v>167</v>
      </c>
      <c r="B13" s="5" t="s">
        <v>168</v>
      </c>
      <c r="C13" s="2" t="str">
        <f t="shared" si="0"/>
        <v>BO0011</v>
      </c>
      <c r="D13" s="26"/>
      <c r="E13" s="4" t="s">
        <v>169</v>
      </c>
      <c r="F13" s="26" t="s">
        <v>37</v>
      </c>
      <c r="G13" s="4" t="s">
        <v>163</v>
      </c>
    </row>
    <row r="14" spans="1:7">
      <c r="A14" s="2" t="s">
        <v>170</v>
      </c>
      <c r="B14" s="5" t="s">
        <v>171</v>
      </c>
      <c r="C14" s="2" t="str">
        <f t="shared" si="0"/>
        <v>BO0012</v>
      </c>
      <c r="D14" s="26"/>
      <c r="E14" s="4" t="s">
        <v>172</v>
      </c>
      <c r="F14" s="26" t="s">
        <v>37</v>
      </c>
      <c r="G14" s="4" t="s">
        <v>173</v>
      </c>
    </row>
    <row r="15" ht="27" spans="1:7">
      <c r="A15" s="2" t="s">
        <v>174</v>
      </c>
      <c r="B15" s="45" t="s">
        <v>175</v>
      </c>
      <c r="C15" s="2" t="str">
        <f t="shared" si="0"/>
        <v>BO0013</v>
      </c>
      <c r="D15" s="46"/>
      <c r="E15" s="45" t="s">
        <v>176</v>
      </c>
      <c r="F15" s="46"/>
      <c r="G15" s="44" t="s">
        <v>165</v>
      </c>
    </row>
    <row r="16" ht="27" spans="1:7">
      <c r="A16" s="2" t="s">
        <v>177</v>
      </c>
      <c r="B16" s="47" t="s">
        <v>178</v>
      </c>
      <c r="C16" s="2" t="str">
        <f t="shared" ref="C16:C24" si="1">A16</f>
        <v>BO0014</v>
      </c>
      <c r="D16" s="48"/>
      <c r="E16" s="49" t="s">
        <v>179</v>
      </c>
      <c r="F16" s="48"/>
      <c r="G16" s="47" t="s">
        <v>180</v>
      </c>
    </row>
    <row r="17" spans="1:7">
      <c r="A17" s="2" t="s">
        <v>181</v>
      </c>
      <c r="B17" s="50" t="s">
        <v>182</v>
      </c>
      <c r="C17" s="2" t="str">
        <f t="shared" si="1"/>
        <v>BO0015</v>
      </c>
      <c r="D17" s="51"/>
      <c r="E17" s="52" t="s">
        <v>183</v>
      </c>
      <c r="F17" s="51" t="s">
        <v>37</v>
      </c>
      <c r="G17" s="52" t="s">
        <v>184</v>
      </c>
    </row>
    <row r="18" spans="1:7">
      <c r="A18" s="2" t="s">
        <v>185</v>
      </c>
      <c r="B18" s="53" t="s">
        <v>186</v>
      </c>
      <c r="C18" s="2" t="str">
        <f t="shared" si="1"/>
        <v>BO0016</v>
      </c>
      <c r="D18" s="54"/>
      <c r="E18" s="53" t="s">
        <v>187</v>
      </c>
      <c r="F18" s="54" t="s">
        <v>37</v>
      </c>
      <c r="G18" s="53" t="s">
        <v>188</v>
      </c>
    </row>
    <row r="19" spans="1:7">
      <c r="A19" s="2" t="s">
        <v>189</v>
      </c>
      <c r="B19" s="52" t="s">
        <v>190</v>
      </c>
      <c r="C19" s="2" t="str">
        <f t="shared" si="1"/>
        <v>BO0017</v>
      </c>
      <c r="D19" s="51"/>
      <c r="E19" s="52" t="s">
        <v>191</v>
      </c>
      <c r="F19" s="51" t="s">
        <v>37</v>
      </c>
      <c r="G19" s="52" t="s">
        <v>192</v>
      </c>
    </row>
    <row r="20" spans="1:7">
      <c r="A20" s="2" t="s">
        <v>193</v>
      </c>
      <c r="B20" s="52" t="s">
        <v>194</v>
      </c>
      <c r="C20" s="2" t="str">
        <f t="shared" si="1"/>
        <v>BO0018</v>
      </c>
      <c r="D20" s="51"/>
      <c r="E20" s="52" t="s">
        <v>195</v>
      </c>
      <c r="F20" s="51" t="s">
        <v>37</v>
      </c>
      <c r="G20" s="52" t="s">
        <v>196</v>
      </c>
    </row>
    <row r="21" spans="1:7">
      <c r="A21" s="2" t="s">
        <v>197</v>
      </c>
      <c r="B21" s="52" t="s">
        <v>198</v>
      </c>
      <c r="C21" s="2" t="str">
        <f t="shared" si="1"/>
        <v>BO0019</v>
      </c>
      <c r="D21" s="51"/>
      <c r="E21" s="52" t="s">
        <v>199</v>
      </c>
      <c r="F21" s="51" t="s">
        <v>37</v>
      </c>
      <c r="G21" s="52" t="s">
        <v>200</v>
      </c>
    </row>
    <row r="22" spans="1:7">
      <c r="A22" s="2" t="s">
        <v>201</v>
      </c>
      <c r="B22" s="52" t="s">
        <v>202</v>
      </c>
      <c r="C22" s="2" t="str">
        <f t="shared" si="1"/>
        <v>BO0020</v>
      </c>
      <c r="D22" s="51"/>
      <c r="E22" s="52" t="s">
        <v>203</v>
      </c>
      <c r="F22" s="51" t="s">
        <v>37</v>
      </c>
      <c r="G22" s="52" t="s">
        <v>204</v>
      </c>
    </row>
    <row r="23" ht="27" spans="1:7">
      <c r="A23" s="2" t="s">
        <v>205</v>
      </c>
      <c r="B23" s="55" t="s">
        <v>206</v>
      </c>
      <c r="C23" s="2" t="str">
        <f t="shared" si="1"/>
        <v>BO0021</v>
      </c>
      <c r="D23" s="51"/>
      <c r="E23" s="52" t="s">
        <v>207</v>
      </c>
      <c r="F23" s="51" t="s">
        <v>37</v>
      </c>
      <c r="G23" s="52" t="s">
        <v>208</v>
      </c>
    </row>
    <row r="24" ht="27" spans="1:7">
      <c r="A24" s="2" t="s">
        <v>209</v>
      </c>
      <c r="B24" s="52" t="s">
        <v>210</v>
      </c>
      <c r="C24" s="2" t="str">
        <f t="shared" si="1"/>
        <v>BO0022</v>
      </c>
      <c r="D24" s="51"/>
      <c r="E24" s="52" t="s">
        <v>211</v>
      </c>
      <c r="F24" s="51" t="s">
        <v>37</v>
      </c>
      <c r="G24" s="52" t="s">
        <v>212</v>
      </c>
    </row>
    <row r="25" spans="1:7">
      <c r="A25" s="4"/>
      <c r="B25" s="4"/>
      <c r="C25" s="4"/>
      <c r="D25" s="26"/>
      <c r="E25" s="4"/>
      <c r="F25" s="26"/>
      <c r="G25" s="4"/>
    </row>
    <row r="26" spans="1:7">
      <c r="A26" s="4"/>
      <c r="B26" s="4"/>
      <c r="C26" s="4"/>
      <c r="D26" s="26"/>
      <c r="E26" s="4"/>
      <c r="F26" s="26"/>
      <c r="G26" s="4"/>
    </row>
    <row r="27" spans="1:7">
      <c r="A27" s="4"/>
      <c r="B27" s="4"/>
      <c r="C27" s="4"/>
      <c r="D27" s="26"/>
      <c r="E27" s="4"/>
      <c r="F27" s="26"/>
      <c r="G27" s="4"/>
    </row>
    <row r="28" spans="1:7">
      <c r="A28" s="4"/>
      <c r="B28" s="4"/>
      <c r="C28" s="4"/>
      <c r="D28" s="26"/>
      <c r="E28" s="4"/>
      <c r="F28" s="26"/>
      <c r="G28" s="4"/>
    </row>
    <row r="29" spans="1:7">
      <c r="A29" s="4"/>
      <c r="B29" s="4"/>
      <c r="C29" s="4"/>
      <c r="D29" s="26"/>
      <c r="E29" s="4"/>
      <c r="F29" s="26"/>
      <c r="G29" s="4"/>
    </row>
    <row r="30" spans="1:7">
      <c r="A30" s="4"/>
      <c r="B30" s="4"/>
      <c r="C30" s="4"/>
      <c r="D30" s="26"/>
      <c r="E30" s="4"/>
      <c r="F30" s="26"/>
      <c r="G30" s="4"/>
    </row>
    <row r="31" spans="1:7">
      <c r="A31" s="4"/>
      <c r="B31" s="4"/>
      <c r="C31" s="4"/>
      <c r="D31" s="26"/>
      <c r="E31" s="4"/>
      <c r="F31" s="26"/>
      <c r="G31" s="4"/>
    </row>
    <row r="32" spans="1:7">
      <c r="A32" s="4"/>
      <c r="B32" s="4"/>
      <c r="C32" s="4"/>
      <c r="D32" s="26"/>
      <c r="E32" s="4"/>
      <c r="F32" s="26"/>
      <c r="G32" s="4"/>
    </row>
    <row r="33" spans="1:7">
      <c r="A33" s="4"/>
      <c r="B33" s="4"/>
      <c r="C33" s="4"/>
      <c r="D33" s="26"/>
      <c r="E33" s="4"/>
      <c r="F33" s="26"/>
      <c r="G33" s="4"/>
    </row>
    <row r="34" spans="1:7">
      <c r="A34" s="4"/>
      <c r="B34" s="4"/>
      <c r="C34" s="4"/>
      <c r="D34" s="26"/>
      <c r="E34" s="4"/>
      <c r="F34" s="26"/>
      <c r="G34" s="4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G34" etc:filterBottomFollowUsedRange="1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0"/>
  <sheetViews>
    <sheetView workbookViewId="0">
      <pane ySplit="2" topLeftCell="A2" activePane="bottomLeft" state="frozen"/>
      <selection/>
      <selection pane="bottomLeft" activeCell="A1" sqref="A$1:A$1048576"/>
    </sheetView>
  </sheetViews>
  <sheetFormatPr defaultColWidth="9" defaultRowHeight="13.5"/>
  <cols>
    <col min="1" max="1" width="14.25" customWidth="1"/>
    <col min="2" max="2" width="15" customWidth="1"/>
    <col min="3" max="3" width="15.25" style="11" customWidth="1"/>
    <col min="4" max="4" width="22" style="11" customWidth="1"/>
    <col min="5" max="5" width="12" customWidth="1"/>
    <col min="6" max="6" width="14" customWidth="1"/>
    <col min="7" max="7" width="19" customWidth="1"/>
    <col min="8" max="8" width="31" customWidth="1"/>
    <col min="9" max="9" width="16" customWidth="1"/>
    <col min="10" max="10" width="12" customWidth="1"/>
    <col min="11" max="11" width="20.625" style="31" customWidth="1"/>
    <col min="12" max="12" width="19.0416666666667" customWidth="1"/>
  </cols>
  <sheetData>
    <row r="1" spans="1:12">
      <c r="A1" s="27" t="s">
        <v>213</v>
      </c>
    </row>
    <row r="2" ht="27" spans="1:12">
      <c r="A2" s="1" t="s">
        <v>142</v>
      </c>
      <c r="B2" s="1" t="s">
        <v>214</v>
      </c>
      <c r="C2" s="21" t="s">
        <v>215</v>
      </c>
      <c r="D2" s="21" t="s">
        <v>216</v>
      </c>
      <c r="E2" s="1" t="s">
        <v>217</v>
      </c>
      <c r="F2" s="1" t="s">
        <v>218</v>
      </c>
      <c r="G2" s="1" t="s">
        <v>219</v>
      </c>
      <c r="H2" s="1" t="s">
        <v>220</v>
      </c>
      <c r="I2" s="1" t="s">
        <v>221</v>
      </c>
      <c r="J2" s="1" t="s">
        <v>222</v>
      </c>
      <c r="K2" s="1" t="s">
        <v>223</v>
      </c>
      <c r="L2" s="1" t="s">
        <v>224</v>
      </c>
    </row>
    <row r="3" spans="1:12">
      <c r="A3" t="s">
        <v>225</v>
      </c>
      <c r="B3" s="4" t="s">
        <v>226</v>
      </c>
      <c r="C3" s="26" t="s">
        <v>79</v>
      </c>
      <c r="D3" s="26" t="s">
        <v>227</v>
      </c>
      <c r="E3" s="4" t="s">
        <v>228</v>
      </c>
      <c r="F3" s="4" t="s">
        <v>229</v>
      </c>
      <c r="G3" s="5" t="s">
        <v>230</v>
      </c>
      <c r="H3" s="4" t="s">
        <v>231</v>
      </c>
      <c r="I3" s="4" t="s">
        <v>232</v>
      </c>
      <c r="J3" s="4" t="s">
        <v>233</v>
      </c>
      <c r="K3" s="32" t="s">
        <v>227</v>
      </c>
      <c r="L3" s="4" t="s">
        <v>234</v>
      </c>
    </row>
    <row r="4" spans="1:12">
      <c r="A4" t="s">
        <v>225</v>
      </c>
      <c r="B4" s="4" t="s">
        <v>226</v>
      </c>
      <c r="C4" s="26" t="s">
        <v>79</v>
      </c>
      <c r="D4" s="26" t="s">
        <v>227</v>
      </c>
      <c r="E4" s="4" t="s">
        <v>235</v>
      </c>
      <c r="F4" s="4" t="s">
        <v>236</v>
      </c>
      <c r="G4" s="5" t="s">
        <v>237</v>
      </c>
      <c r="H4" s="4" t="s">
        <v>238</v>
      </c>
      <c r="I4" s="4" t="s">
        <v>232</v>
      </c>
      <c r="J4" s="4" t="s">
        <v>239</v>
      </c>
      <c r="K4" s="32" t="s">
        <v>227</v>
      </c>
      <c r="L4" s="4" t="s">
        <v>240</v>
      </c>
    </row>
    <row r="5" spans="1:12">
      <c r="A5" t="s">
        <v>225</v>
      </c>
      <c r="B5" s="4" t="s">
        <v>226</v>
      </c>
      <c r="C5" s="26" t="s">
        <v>79</v>
      </c>
      <c r="D5" s="26" t="s">
        <v>227</v>
      </c>
      <c r="E5" s="4" t="s">
        <v>241</v>
      </c>
      <c r="F5" s="4" t="s">
        <v>242</v>
      </c>
      <c r="G5" s="5" t="s">
        <v>243</v>
      </c>
      <c r="H5" s="4" t="s">
        <v>242</v>
      </c>
      <c r="I5" s="4" t="s">
        <v>244</v>
      </c>
      <c r="J5" s="4" t="s">
        <v>239</v>
      </c>
      <c r="K5" s="32" t="s">
        <v>227</v>
      </c>
      <c r="L5" s="4" t="s">
        <v>245</v>
      </c>
    </row>
    <row r="6" spans="1:12">
      <c r="A6" t="s">
        <v>225</v>
      </c>
      <c r="B6" s="4" t="s">
        <v>226</v>
      </c>
      <c r="C6" s="26" t="s">
        <v>79</v>
      </c>
      <c r="D6" s="26" t="s">
        <v>227</v>
      </c>
      <c r="E6" s="4" t="s">
        <v>246</v>
      </c>
      <c r="F6" s="4" t="s">
        <v>247</v>
      </c>
      <c r="G6" s="5" t="s">
        <v>248</v>
      </c>
      <c r="H6" s="4" t="s">
        <v>249</v>
      </c>
      <c r="I6" s="4" t="s">
        <v>250</v>
      </c>
      <c r="J6" s="4" t="s">
        <v>239</v>
      </c>
      <c r="K6" s="32" t="s">
        <v>227</v>
      </c>
      <c r="L6" s="4" t="s">
        <v>251</v>
      </c>
    </row>
    <row r="7" spans="1:12">
      <c r="A7" t="s">
        <v>225</v>
      </c>
      <c r="B7" s="4" t="s">
        <v>226</v>
      </c>
      <c r="C7" s="26" t="s">
        <v>79</v>
      </c>
      <c r="D7" s="26" t="s">
        <v>227</v>
      </c>
      <c r="E7" s="4" t="s">
        <v>252</v>
      </c>
      <c r="F7" s="4" t="s">
        <v>253</v>
      </c>
      <c r="G7" s="5" t="s">
        <v>254</v>
      </c>
      <c r="H7" s="4" t="s">
        <v>255</v>
      </c>
      <c r="I7" s="4" t="s">
        <v>232</v>
      </c>
      <c r="J7" s="4" t="s">
        <v>239</v>
      </c>
      <c r="K7" s="32" t="s">
        <v>227</v>
      </c>
      <c r="L7" s="4" t="s">
        <v>256</v>
      </c>
    </row>
    <row r="8" spans="1:12">
      <c r="A8" t="s">
        <v>225</v>
      </c>
      <c r="B8" s="4" t="s">
        <v>226</v>
      </c>
      <c r="C8" s="26" t="s">
        <v>79</v>
      </c>
      <c r="D8" s="26" t="s">
        <v>227</v>
      </c>
      <c r="E8" s="4" t="s">
        <v>257</v>
      </c>
      <c r="F8" s="4" t="s">
        <v>258</v>
      </c>
      <c r="G8" s="5" t="s">
        <v>259</v>
      </c>
      <c r="H8" s="4" t="s">
        <v>260</v>
      </c>
      <c r="I8" s="4" t="s">
        <v>261</v>
      </c>
      <c r="J8" s="4" t="s">
        <v>239</v>
      </c>
      <c r="K8" s="32" t="s">
        <v>227</v>
      </c>
      <c r="L8" s="4" t="s">
        <v>262</v>
      </c>
    </row>
    <row r="9" spans="1:12">
      <c r="A9" t="s">
        <v>263</v>
      </c>
      <c r="B9" s="4" t="s">
        <v>264</v>
      </c>
      <c r="C9" s="26" t="s">
        <v>77</v>
      </c>
      <c r="D9" s="26" t="s">
        <v>265</v>
      </c>
      <c r="E9" s="4" t="s">
        <v>266</v>
      </c>
      <c r="F9" s="4" t="s">
        <v>267</v>
      </c>
      <c r="G9" s="5" t="s">
        <v>268</v>
      </c>
      <c r="H9" s="4" t="s">
        <v>269</v>
      </c>
      <c r="I9" s="4" t="s">
        <v>232</v>
      </c>
      <c r="J9" s="4" t="s">
        <v>233</v>
      </c>
      <c r="K9" s="32" t="s">
        <v>265</v>
      </c>
      <c r="L9" s="4" t="s">
        <v>270</v>
      </c>
    </row>
    <row r="10" spans="1:12">
      <c r="A10" t="s">
        <v>263</v>
      </c>
      <c r="B10" s="4" t="s">
        <v>264</v>
      </c>
      <c r="C10" s="26" t="s">
        <v>77</v>
      </c>
      <c r="D10" s="26" t="s">
        <v>265</v>
      </c>
      <c r="E10" s="4" t="s">
        <v>271</v>
      </c>
      <c r="F10" s="4" t="s">
        <v>272</v>
      </c>
      <c r="G10" s="5" t="s">
        <v>273</v>
      </c>
      <c r="H10" s="4" t="s">
        <v>272</v>
      </c>
      <c r="I10" s="4" t="s">
        <v>274</v>
      </c>
      <c r="J10" s="4" t="s">
        <v>239</v>
      </c>
      <c r="K10" s="32" t="s">
        <v>265</v>
      </c>
      <c r="L10" s="4" t="s">
        <v>275</v>
      </c>
    </row>
    <row r="11" spans="1:12">
      <c r="A11" t="s">
        <v>263</v>
      </c>
      <c r="B11" s="4" t="s">
        <v>264</v>
      </c>
      <c r="C11" s="26" t="s">
        <v>77</v>
      </c>
      <c r="D11" s="26" t="s">
        <v>265</v>
      </c>
      <c r="E11" s="4" t="s">
        <v>276</v>
      </c>
      <c r="F11" s="4" t="s">
        <v>277</v>
      </c>
      <c r="G11" s="5" t="s">
        <v>278</v>
      </c>
      <c r="H11" s="4" t="s">
        <v>277</v>
      </c>
      <c r="I11" s="4" t="s">
        <v>244</v>
      </c>
      <c r="J11" s="4" t="s">
        <v>239</v>
      </c>
      <c r="K11" s="32" t="s">
        <v>265</v>
      </c>
      <c r="L11" s="4" t="s">
        <v>279</v>
      </c>
    </row>
    <row r="12" spans="1:12">
      <c r="A12" t="s">
        <v>263</v>
      </c>
      <c r="B12" s="4" t="s">
        <v>264</v>
      </c>
      <c r="C12" s="26" t="s">
        <v>77</v>
      </c>
      <c r="D12" s="26" t="s">
        <v>265</v>
      </c>
      <c r="E12" s="4" t="s">
        <v>280</v>
      </c>
      <c r="F12" s="4" t="s">
        <v>281</v>
      </c>
      <c r="G12" s="5" t="s">
        <v>230</v>
      </c>
      <c r="H12" s="4" t="s">
        <v>282</v>
      </c>
      <c r="I12" s="4" t="s">
        <v>232</v>
      </c>
      <c r="J12" s="4" t="s">
        <v>239</v>
      </c>
      <c r="K12" s="32" t="s">
        <v>265</v>
      </c>
      <c r="L12" s="4" t="s">
        <v>234</v>
      </c>
    </row>
    <row r="13" spans="1:12">
      <c r="A13" t="s">
        <v>283</v>
      </c>
      <c r="B13" s="4" t="s">
        <v>284</v>
      </c>
      <c r="C13" s="26" t="s">
        <v>75</v>
      </c>
      <c r="D13" s="26" t="s">
        <v>285</v>
      </c>
      <c r="E13" s="4" t="s">
        <v>286</v>
      </c>
      <c r="F13" s="4" t="s">
        <v>287</v>
      </c>
      <c r="G13" s="5" t="s">
        <v>288</v>
      </c>
      <c r="H13" s="4" t="s">
        <v>289</v>
      </c>
      <c r="I13" s="4" t="s">
        <v>232</v>
      </c>
      <c r="J13" s="4" t="s">
        <v>233</v>
      </c>
      <c r="K13" s="32" t="s">
        <v>285</v>
      </c>
      <c r="L13" s="4" t="s">
        <v>290</v>
      </c>
    </row>
    <row r="14" spans="1:12">
      <c r="A14" t="s">
        <v>283</v>
      </c>
      <c r="B14" s="4" t="s">
        <v>284</v>
      </c>
      <c r="C14" s="26" t="s">
        <v>75</v>
      </c>
      <c r="D14" s="26" t="s">
        <v>285</v>
      </c>
      <c r="E14" s="4" t="s">
        <v>291</v>
      </c>
      <c r="F14" s="4" t="s">
        <v>292</v>
      </c>
      <c r="G14" s="5" t="s">
        <v>293</v>
      </c>
      <c r="H14" s="4" t="s">
        <v>292</v>
      </c>
      <c r="I14" s="4" t="s">
        <v>274</v>
      </c>
      <c r="J14" s="4" t="s">
        <v>239</v>
      </c>
      <c r="K14" s="32" t="s">
        <v>285</v>
      </c>
      <c r="L14" s="4" t="s">
        <v>275</v>
      </c>
    </row>
    <row r="15" spans="1:12">
      <c r="A15" t="s">
        <v>283</v>
      </c>
      <c r="B15" s="4" t="s">
        <v>284</v>
      </c>
      <c r="C15" s="26" t="s">
        <v>75</v>
      </c>
      <c r="D15" s="26" t="s">
        <v>285</v>
      </c>
      <c r="E15" s="4" t="s">
        <v>294</v>
      </c>
      <c r="F15" s="4" t="s">
        <v>295</v>
      </c>
      <c r="G15" s="5" t="s">
        <v>296</v>
      </c>
      <c r="H15" s="4" t="s">
        <v>295</v>
      </c>
      <c r="I15" s="4" t="s">
        <v>297</v>
      </c>
      <c r="J15" s="4" t="s">
        <v>239</v>
      </c>
      <c r="K15" s="32" t="s">
        <v>285</v>
      </c>
      <c r="L15" s="4" t="s">
        <v>279</v>
      </c>
    </row>
    <row r="16" spans="1:12">
      <c r="A16" t="s">
        <v>283</v>
      </c>
      <c r="B16" s="4" t="s">
        <v>284</v>
      </c>
      <c r="C16" s="26" t="s">
        <v>75</v>
      </c>
      <c r="D16" s="26" t="s">
        <v>285</v>
      </c>
      <c r="E16" s="4" t="s">
        <v>298</v>
      </c>
      <c r="F16" s="4" t="s">
        <v>299</v>
      </c>
      <c r="G16" s="5" t="s">
        <v>300</v>
      </c>
      <c r="H16" s="4" t="s">
        <v>301</v>
      </c>
      <c r="I16" s="4" t="s">
        <v>302</v>
      </c>
      <c r="J16" s="4" t="s">
        <v>239</v>
      </c>
      <c r="K16" s="32" t="s">
        <v>285</v>
      </c>
      <c r="L16" s="4" t="s">
        <v>303</v>
      </c>
    </row>
    <row r="17" spans="1:12">
      <c r="A17" t="s">
        <v>283</v>
      </c>
      <c r="B17" s="4" t="s">
        <v>284</v>
      </c>
      <c r="C17" s="26" t="s">
        <v>75</v>
      </c>
      <c r="D17" s="26" t="s">
        <v>285</v>
      </c>
      <c r="E17" s="4" t="s">
        <v>304</v>
      </c>
      <c r="F17" s="4" t="s">
        <v>305</v>
      </c>
      <c r="G17" s="5" t="s">
        <v>306</v>
      </c>
      <c r="H17" s="4" t="s">
        <v>307</v>
      </c>
      <c r="I17" s="4" t="s">
        <v>261</v>
      </c>
      <c r="J17" s="4" t="s">
        <v>239</v>
      </c>
      <c r="K17" s="32" t="s">
        <v>285</v>
      </c>
      <c r="L17" s="4" t="s">
        <v>308</v>
      </c>
    </row>
    <row r="18" spans="1:12">
      <c r="A18" t="s">
        <v>283</v>
      </c>
      <c r="B18" s="4" t="s">
        <v>284</v>
      </c>
      <c r="C18" s="26" t="s">
        <v>75</v>
      </c>
      <c r="D18" s="26" t="s">
        <v>285</v>
      </c>
      <c r="E18" s="4" t="s">
        <v>309</v>
      </c>
      <c r="F18" s="4" t="s">
        <v>310</v>
      </c>
      <c r="G18" s="5" t="s">
        <v>311</v>
      </c>
      <c r="H18" s="4" t="s">
        <v>312</v>
      </c>
      <c r="I18" s="4" t="s">
        <v>313</v>
      </c>
      <c r="J18" s="4" t="s">
        <v>239</v>
      </c>
      <c r="K18" s="32" t="s">
        <v>285</v>
      </c>
      <c r="L18" s="4" t="s">
        <v>314</v>
      </c>
    </row>
    <row r="19" spans="1:12">
      <c r="A19" t="s">
        <v>283</v>
      </c>
      <c r="B19" s="4" t="s">
        <v>284</v>
      </c>
      <c r="C19" s="26" t="s">
        <v>75</v>
      </c>
      <c r="D19" s="26" t="s">
        <v>285</v>
      </c>
      <c r="E19" s="4" t="s">
        <v>315</v>
      </c>
      <c r="F19" s="4" t="s">
        <v>316</v>
      </c>
      <c r="G19" s="5" t="s">
        <v>317</v>
      </c>
      <c r="H19" s="4" t="s">
        <v>316</v>
      </c>
      <c r="I19" s="4" t="s">
        <v>318</v>
      </c>
      <c r="J19" s="4" t="s">
        <v>239</v>
      </c>
      <c r="K19" s="32" t="s">
        <v>285</v>
      </c>
      <c r="L19" s="4" t="s">
        <v>319</v>
      </c>
    </row>
    <row r="20" spans="1:12">
      <c r="A20" t="s">
        <v>283</v>
      </c>
      <c r="B20" s="4" t="s">
        <v>284</v>
      </c>
      <c r="C20" s="26" t="s">
        <v>75</v>
      </c>
      <c r="D20" s="26" t="s">
        <v>285</v>
      </c>
      <c r="E20" s="4" t="s">
        <v>320</v>
      </c>
      <c r="F20" s="4" t="s">
        <v>321</v>
      </c>
      <c r="G20" s="5" t="s">
        <v>322</v>
      </c>
      <c r="H20" s="4" t="s">
        <v>323</v>
      </c>
      <c r="I20" s="4" t="s">
        <v>250</v>
      </c>
      <c r="J20" s="4" t="s">
        <v>239</v>
      </c>
      <c r="K20" s="32" t="s">
        <v>285</v>
      </c>
      <c r="L20" s="4" t="s">
        <v>324</v>
      </c>
    </row>
    <row r="21" spans="1:12">
      <c r="A21" s="2" t="s">
        <v>325</v>
      </c>
      <c r="B21" s="4" t="s">
        <v>326</v>
      </c>
      <c r="C21" s="26" t="s">
        <v>71</v>
      </c>
      <c r="D21" s="26" t="s">
        <v>327</v>
      </c>
      <c r="E21" s="4" t="s">
        <v>328</v>
      </c>
      <c r="F21" s="4" t="s">
        <v>329</v>
      </c>
      <c r="G21" s="5" t="s">
        <v>330</v>
      </c>
      <c r="H21" s="4" t="s">
        <v>331</v>
      </c>
      <c r="I21" s="4" t="s">
        <v>232</v>
      </c>
      <c r="J21" s="4" t="s">
        <v>233</v>
      </c>
      <c r="K21" s="32" t="s">
        <v>327</v>
      </c>
      <c r="L21" s="4" t="s">
        <v>332</v>
      </c>
    </row>
    <row r="22" spans="1:12">
      <c r="A22" s="2" t="s">
        <v>325</v>
      </c>
      <c r="B22" s="4" t="s">
        <v>326</v>
      </c>
      <c r="C22" s="26" t="s">
        <v>71</v>
      </c>
      <c r="D22" s="26" t="s">
        <v>327</v>
      </c>
      <c r="E22" s="4" t="s">
        <v>333</v>
      </c>
      <c r="F22" s="4" t="s">
        <v>334</v>
      </c>
      <c r="G22" s="5" t="s">
        <v>335</v>
      </c>
      <c r="H22" s="4" t="s">
        <v>334</v>
      </c>
      <c r="I22" s="4" t="s">
        <v>274</v>
      </c>
      <c r="J22" s="4" t="s">
        <v>239</v>
      </c>
      <c r="K22" s="32" t="s">
        <v>327</v>
      </c>
      <c r="L22" s="4" t="s">
        <v>275</v>
      </c>
    </row>
    <row r="23" spans="1:12">
      <c r="A23" s="2" t="s">
        <v>325</v>
      </c>
      <c r="B23" s="4" t="s">
        <v>326</v>
      </c>
      <c r="C23" s="26" t="s">
        <v>71</v>
      </c>
      <c r="D23" s="26" t="s">
        <v>327</v>
      </c>
      <c r="E23" s="4" t="s">
        <v>336</v>
      </c>
      <c r="F23" s="4" t="s">
        <v>337</v>
      </c>
      <c r="G23" s="5" t="s">
        <v>338</v>
      </c>
      <c r="H23" s="4" t="s">
        <v>337</v>
      </c>
      <c r="I23" s="4" t="s">
        <v>297</v>
      </c>
      <c r="J23" s="4" t="s">
        <v>239</v>
      </c>
      <c r="K23" s="32" t="s">
        <v>327</v>
      </c>
      <c r="L23" s="4" t="s">
        <v>279</v>
      </c>
    </row>
    <row r="24" spans="1:12">
      <c r="A24" s="2" t="s">
        <v>325</v>
      </c>
      <c r="B24" s="4" t="s">
        <v>326</v>
      </c>
      <c r="C24" s="26" t="s">
        <v>71</v>
      </c>
      <c r="D24" s="26" t="s">
        <v>327</v>
      </c>
      <c r="E24" s="4" t="s">
        <v>339</v>
      </c>
      <c r="F24" s="4" t="s">
        <v>340</v>
      </c>
      <c r="G24" s="5" t="s">
        <v>341</v>
      </c>
      <c r="H24" s="4" t="s">
        <v>342</v>
      </c>
      <c r="I24" s="4" t="s">
        <v>261</v>
      </c>
      <c r="J24" s="4" t="s">
        <v>239</v>
      </c>
      <c r="K24" s="32" t="s">
        <v>327</v>
      </c>
      <c r="L24" s="4" t="s">
        <v>343</v>
      </c>
    </row>
    <row r="25" spans="1:12">
      <c r="A25" s="2" t="s">
        <v>325</v>
      </c>
      <c r="B25" s="4" t="s">
        <v>326</v>
      </c>
      <c r="C25" s="26" t="s">
        <v>71</v>
      </c>
      <c r="D25" s="26" t="s">
        <v>327</v>
      </c>
      <c r="E25" s="4" t="s">
        <v>344</v>
      </c>
      <c r="F25" s="4" t="s">
        <v>345</v>
      </c>
      <c r="G25" s="5" t="s">
        <v>346</v>
      </c>
      <c r="H25" s="4" t="s">
        <v>345</v>
      </c>
      <c r="I25" s="4" t="s">
        <v>302</v>
      </c>
      <c r="J25" s="4" t="s">
        <v>239</v>
      </c>
      <c r="K25" s="32" t="s">
        <v>327</v>
      </c>
      <c r="L25" s="4" t="s">
        <v>347</v>
      </c>
    </row>
    <row r="26" spans="1:12">
      <c r="A26" t="s">
        <v>348</v>
      </c>
      <c r="B26" s="4" t="s">
        <v>349</v>
      </c>
      <c r="C26" s="26" t="s">
        <v>73</v>
      </c>
      <c r="D26" s="26" t="s">
        <v>350</v>
      </c>
      <c r="E26" s="4" t="s">
        <v>351</v>
      </c>
      <c r="F26" s="4" t="s">
        <v>352</v>
      </c>
      <c r="G26" s="5" t="s">
        <v>353</v>
      </c>
      <c r="H26" s="4" t="s">
        <v>354</v>
      </c>
      <c r="I26" s="4" t="s">
        <v>232</v>
      </c>
      <c r="J26" s="4" t="s">
        <v>233</v>
      </c>
      <c r="K26" s="32" t="s">
        <v>350</v>
      </c>
      <c r="L26" s="4" t="s">
        <v>355</v>
      </c>
    </row>
    <row r="27" spans="1:12">
      <c r="A27" t="s">
        <v>348</v>
      </c>
      <c r="B27" s="4" t="s">
        <v>349</v>
      </c>
      <c r="C27" s="26" t="s">
        <v>73</v>
      </c>
      <c r="D27" s="26" t="s">
        <v>350</v>
      </c>
      <c r="E27" s="4" t="s">
        <v>356</v>
      </c>
      <c r="F27" s="4" t="s">
        <v>357</v>
      </c>
      <c r="G27" s="5" t="s">
        <v>358</v>
      </c>
      <c r="H27" s="4" t="s">
        <v>357</v>
      </c>
      <c r="I27" s="4" t="s">
        <v>274</v>
      </c>
      <c r="J27" s="4" t="s">
        <v>239</v>
      </c>
      <c r="K27" s="32" t="s">
        <v>350</v>
      </c>
      <c r="L27" s="4" t="s">
        <v>275</v>
      </c>
    </row>
    <row r="28" spans="1:12">
      <c r="A28" t="s">
        <v>348</v>
      </c>
      <c r="B28" s="4" t="s">
        <v>349</v>
      </c>
      <c r="C28" s="26" t="s">
        <v>73</v>
      </c>
      <c r="D28" s="26" t="s">
        <v>350</v>
      </c>
      <c r="E28" s="4" t="s">
        <v>359</v>
      </c>
      <c r="F28" s="4" t="s">
        <v>360</v>
      </c>
      <c r="G28" s="5" t="s">
        <v>361</v>
      </c>
      <c r="H28" s="4" t="s">
        <v>360</v>
      </c>
      <c r="I28" s="4" t="s">
        <v>297</v>
      </c>
      <c r="J28" s="4" t="s">
        <v>239</v>
      </c>
      <c r="K28" s="32" t="s">
        <v>350</v>
      </c>
      <c r="L28" s="4" t="s">
        <v>279</v>
      </c>
    </row>
    <row r="29" spans="1:12">
      <c r="A29" t="s">
        <v>348</v>
      </c>
      <c r="B29" s="4" t="s">
        <v>349</v>
      </c>
      <c r="C29" s="26" t="s">
        <v>73</v>
      </c>
      <c r="D29" s="26" t="s">
        <v>350</v>
      </c>
      <c r="E29" s="4" t="s">
        <v>362</v>
      </c>
      <c r="F29" s="4" t="s">
        <v>363</v>
      </c>
      <c r="G29" s="5" t="s">
        <v>364</v>
      </c>
      <c r="H29" s="4" t="s">
        <v>365</v>
      </c>
      <c r="I29" s="4" t="s">
        <v>313</v>
      </c>
      <c r="J29" s="4" t="s">
        <v>239</v>
      </c>
      <c r="K29" s="32" t="s">
        <v>350</v>
      </c>
      <c r="L29" s="4" t="s">
        <v>366</v>
      </c>
    </row>
    <row r="30" spans="1:12">
      <c r="A30" t="s">
        <v>367</v>
      </c>
      <c r="B30" s="4" t="s">
        <v>368</v>
      </c>
      <c r="C30" s="28" t="s">
        <v>83</v>
      </c>
      <c r="D30" s="26" t="s">
        <v>369</v>
      </c>
      <c r="E30" s="4" t="s">
        <v>370</v>
      </c>
      <c r="F30" s="4" t="s">
        <v>371</v>
      </c>
      <c r="G30" s="5" t="s">
        <v>372</v>
      </c>
      <c r="H30" s="4" t="s">
        <v>373</v>
      </c>
      <c r="I30" s="4" t="s">
        <v>232</v>
      </c>
      <c r="J30" s="4" t="s">
        <v>233</v>
      </c>
      <c r="K30" s="32" t="s">
        <v>369</v>
      </c>
      <c r="L30" s="4" t="s">
        <v>374</v>
      </c>
    </row>
    <row r="31" spans="1:12">
      <c r="A31" t="s">
        <v>367</v>
      </c>
      <c r="B31" s="4" t="s">
        <v>368</v>
      </c>
      <c r="C31" s="28" t="s">
        <v>83</v>
      </c>
      <c r="D31" s="26" t="s">
        <v>369</v>
      </c>
      <c r="E31" s="4" t="s">
        <v>375</v>
      </c>
      <c r="F31" s="4" t="s">
        <v>376</v>
      </c>
      <c r="G31" s="5" t="s">
        <v>377</v>
      </c>
      <c r="H31" s="4" t="s">
        <v>376</v>
      </c>
      <c r="I31" s="4" t="s">
        <v>274</v>
      </c>
      <c r="J31" s="4" t="s">
        <v>239</v>
      </c>
      <c r="K31" s="32" t="s">
        <v>369</v>
      </c>
      <c r="L31" s="4" t="s">
        <v>378</v>
      </c>
    </row>
    <row r="32" spans="1:12">
      <c r="A32" t="s">
        <v>367</v>
      </c>
      <c r="B32" s="4" t="s">
        <v>368</v>
      </c>
      <c r="C32" s="28" t="s">
        <v>83</v>
      </c>
      <c r="D32" s="26" t="s">
        <v>369</v>
      </c>
      <c r="E32" s="4" t="s">
        <v>379</v>
      </c>
      <c r="F32" s="4" t="s">
        <v>380</v>
      </c>
      <c r="G32" s="5" t="s">
        <v>381</v>
      </c>
      <c r="H32" s="4" t="s">
        <v>380</v>
      </c>
      <c r="I32" s="4" t="s">
        <v>382</v>
      </c>
      <c r="J32" s="4" t="s">
        <v>239</v>
      </c>
      <c r="K32" s="32" t="s">
        <v>369</v>
      </c>
      <c r="L32" s="4" t="s">
        <v>383</v>
      </c>
    </row>
    <row r="33" spans="1:12">
      <c r="A33" t="s">
        <v>367</v>
      </c>
      <c r="B33" s="4" t="s">
        <v>368</v>
      </c>
      <c r="C33" s="28" t="s">
        <v>83</v>
      </c>
      <c r="D33" s="26" t="s">
        <v>369</v>
      </c>
      <c r="E33" s="4" t="s">
        <v>384</v>
      </c>
      <c r="F33" s="4" t="s">
        <v>385</v>
      </c>
      <c r="G33" s="5" t="s">
        <v>330</v>
      </c>
      <c r="H33" s="4" t="s">
        <v>386</v>
      </c>
      <c r="I33" s="4" t="s">
        <v>232</v>
      </c>
      <c r="J33" s="4" t="s">
        <v>239</v>
      </c>
      <c r="K33" s="32" t="s">
        <v>369</v>
      </c>
      <c r="L33" s="4" t="s">
        <v>332</v>
      </c>
    </row>
    <row r="34" spans="1:12">
      <c r="A34" t="s">
        <v>367</v>
      </c>
      <c r="B34" s="4" t="s">
        <v>368</v>
      </c>
      <c r="C34" s="28" t="s">
        <v>83</v>
      </c>
      <c r="D34" s="26" t="s">
        <v>369</v>
      </c>
      <c r="E34" s="4" t="s">
        <v>387</v>
      </c>
      <c r="F34" s="4" t="s">
        <v>388</v>
      </c>
      <c r="G34" s="5" t="s">
        <v>230</v>
      </c>
      <c r="H34" s="4" t="s">
        <v>389</v>
      </c>
      <c r="I34" s="4" t="s">
        <v>232</v>
      </c>
      <c r="J34" s="4" t="s">
        <v>239</v>
      </c>
      <c r="K34" s="32" t="s">
        <v>369</v>
      </c>
      <c r="L34" s="4" t="s">
        <v>234</v>
      </c>
    </row>
    <row r="35" spans="1:12">
      <c r="A35" t="s">
        <v>367</v>
      </c>
      <c r="B35" s="4" t="s">
        <v>368</v>
      </c>
      <c r="C35" s="28" t="s">
        <v>83</v>
      </c>
      <c r="D35" s="26" t="s">
        <v>369</v>
      </c>
      <c r="E35" s="4" t="s">
        <v>351</v>
      </c>
      <c r="F35" s="4" t="s">
        <v>390</v>
      </c>
      <c r="G35" s="5" t="s">
        <v>391</v>
      </c>
      <c r="H35" s="4" t="s">
        <v>392</v>
      </c>
      <c r="I35" s="4" t="s">
        <v>261</v>
      </c>
      <c r="J35" s="4" t="s">
        <v>239</v>
      </c>
      <c r="K35" s="32" t="s">
        <v>369</v>
      </c>
      <c r="L35" s="4" t="s">
        <v>393</v>
      </c>
    </row>
    <row r="36" s="29" customFormat="1" spans="1:12">
      <c r="A36" s="29" t="s">
        <v>367</v>
      </c>
      <c r="B36" s="33" t="s">
        <v>368</v>
      </c>
      <c r="C36" s="34" t="s">
        <v>83</v>
      </c>
      <c r="D36" s="34" t="s">
        <v>369</v>
      </c>
      <c r="E36" s="4" t="s">
        <v>356</v>
      </c>
      <c r="F36" s="33" t="s">
        <v>394</v>
      </c>
      <c r="G36" s="35" t="s">
        <v>395</v>
      </c>
      <c r="H36" s="35" t="s">
        <v>396</v>
      </c>
      <c r="I36" s="35" t="s">
        <v>397</v>
      </c>
      <c r="J36" s="33" t="s">
        <v>239</v>
      </c>
      <c r="K36" s="36" t="s">
        <v>369</v>
      </c>
      <c r="L36" s="33" t="s">
        <v>398</v>
      </c>
    </row>
    <row r="37" spans="1:12">
      <c r="A37" s="29" t="s">
        <v>367</v>
      </c>
      <c r="B37" s="4" t="s">
        <v>399</v>
      </c>
      <c r="C37" s="26" t="s">
        <v>394</v>
      </c>
      <c r="D37" s="26" t="s">
        <v>398</v>
      </c>
      <c r="E37" s="4" t="s">
        <v>359</v>
      </c>
      <c r="F37" s="4" t="s">
        <v>400</v>
      </c>
      <c r="G37" s="5" t="s">
        <v>401</v>
      </c>
      <c r="H37" s="4" t="s">
        <v>402</v>
      </c>
      <c r="I37" s="4" t="s">
        <v>232</v>
      </c>
      <c r="J37" s="4" t="s">
        <v>233</v>
      </c>
      <c r="K37" s="32" t="s">
        <v>398</v>
      </c>
      <c r="L37" s="4" t="s">
        <v>403</v>
      </c>
    </row>
    <row r="38" spans="1:12">
      <c r="A38" s="29" t="s">
        <v>367</v>
      </c>
      <c r="B38" s="4" t="s">
        <v>399</v>
      </c>
      <c r="C38" s="26" t="s">
        <v>394</v>
      </c>
      <c r="D38" s="26" t="s">
        <v>398</v>
      </c>
      <c r="E38" s="4" t="s">
        <v>362</v>
      </c>
      <c r="F38" s="4" t="s">
        <v>371</v>
      </c>
      <c r="G38" s="5" t="s">
        <v>372</v>
      </c>
      <c r="H38" s="4" t="s">
        <v>404</v>
      </c>
      <c r="I38" s="4" t="s">
        <v>232</v>
      </c>
      <c r="J38" s="4" t="s">
        <v>239</v>
      </c>
      <c r="K38" s="32" t="s">
        <v>398</v>
      </c>
      <c r="L38" s="4" t="s">
        <v>374</v>
      </c>
    </row>
    <row r="39" spans="1:12">
      <c r="A39" s="29" t="s">
        <v>367</v>
      </c>
      <c r="B39" s="4" t="s">
        <v>399</v>
      </c>
      <c r="C39" s="26" t="s">
        <v>394</v>
      </c>
      <c r="D39" s="26" t="s">
        <v>398</v>
      </c>
      <c r="E39" s="4" t="s">
        <v>370</v>
      </c>
      <c r="F39" s="4" t="s">
        <v>405</v>
      </c>
      <c r="G39" s="5" t="s">
        <v>288</v>
      </c>
      <c r="H39" s="4" t="s">
        <v>406</v>
      </c>
      <c r="I39" s="4" t="s">
        <v>232</v>
      </c>
      <c r="J39" s="4" t="s">
        <v>239</v>
      </c>
      <c r="K39" s="32" t="s">
        <v>398</v>
      </c>
      <c r="L39" s="4" t="s">
        <v>290</v>
      </c>
    </row>
    <row r="40" spans="1:12">
      <c r="A40" s="29" t="s">
        <v>367</v>
      </c>
      <c r="B40" s="4" t="s">
        <v>399</v>
      </c>
      <c r="C40" s="26" t="s">
        <v>394</v>
      </c>
      <c r="D40" s="26" t="s">
        <v>398</v>
      </c>
      <c r="E40" s="4" t="s">
        <v>375</v>
      </c>
      <c r="F40" s="4" t="s">
        <v>407</v>
      </c>
      <c r="G40" s="5" t="s">
        <v>268</v>
      </c>
      <c r="H40" s="4" t="s">
        <v>408</v>
      </c>
      <c r="I40" s="4" t="s">
        <v>232</v>
      </c>
      <c r="J40" s="4" t="s">
        <v>239</v>
      </c>
      <c r="K40" s="32" t="s">
        <v>398</v>
      </c>
      <c r="L40" s="4" t="s">
        <v>270</v>
      </c>
    </row>
    <row r="41" spans="1:12">
      <c r="A41" s="29" t="s">
        <v>367</v>
      </c>
      <c r="B41" s="4" t="s">
        <v>399</v>
      </c>
      <c r="C41" s="26" t="s">
        <v>394</v>
      </c>
      <c r="D41" s="26" t="s">
        <v>398</v>
      </c>
      <c r="E41" s="4" t="s">
        <v>379</v>
      </c>
      <c r="F41" s="4" t="s">
        <v>409</v>
      </c>
      <c r="G41" s="5" t="s">
        <v>410</v>
      </c>
      <c r="H41" s="4" t="s">
        <v>411</v>
      </c>
      <c r="I41" s="4" t="s">
        <v>318</v>
      </c>
      <c r="J41" s="4" t="s">
        <v>239</v>
      </c>
      <c r="K41" s="32" t="s">
        <v>398</v>
      </c>
      <c r="L41" s="4" t="s">
        <v>412</v>
      </c>
    </row>
    <row r="42" spans="1:12">
      <c r="A42" s="29" t="s">
        <v>367</v>
      </c>
      <c r="B42" s="4" t="s">
        <v>399</v>
      </c>
      <c r="C42" s="26" t="s">
        <v>394</v>
      </c>
      <c r="D42" s="26" t="s">
        <v>398</v>
      </c>
      <c r="E42" s="4" t="s">
        <v>384</v>
      </c>
      <c r="F42" s="4" t="s">
        <v>413</v>
      </c>
      <c r="G42" s="5" t="s">
        <v>414</v>
      </c>
      <c r="H42" s="4" t="s">
        <v>413</v>
      </c>
      <c r="I42" s="4" t="s">
        <v>318</v>
      </c>
      <c r="J42" s="4" t="s">
        <v>239</v>
      </c>
      <c r="K42" s="32" t="s">
        <v>398</v>
      </c>
      <c r="L42" s="4" t="s">
        <v>415</v>
      </c>
    </row>
    <row r="43" spans="1:12">
      <c r="A43" s="29" t="s">
        <v>367</v>
      </c>
      <c r="B43" s="4" t="s">
        <v>399</v>
      </c>
      <c r="C43" s="26" t="s">
        <v>394</v>
      </c>
      <c r="D43" s="26" t="s">
        <v>398</v>
      </c>
      <c r="E43" s="4" t="s">
        <v>387</v>
      </c>
      <c r="F43" s="4" t="s">
        <v>416</v>
      </c>
      <c r="G43" s="5" t="s">
        <v>417</v>
      </c>
      <c r="H43" s="4" t="s">
        <v>416</v>
      </c>
      <c r="I43" s="4" t="s">
        <v>318</v>
      </c>
      <c r="J43" s="4" t="s">
        <v>239</v>
      </c>
      <c r="K43" s="32" t="s">
        <v>398</v>
      </c>
      <c r="L43" s="4" t="s">
        <v>418</v>
      </c>
    </row>
    <row r="44" spans="1:12">
      <c r="A44" s="29" t="s">
        <v>367</v>
      </c>
      <c r="B44" s="4" t="s">
        <v>399</v>
      </c>
      <c r="C44" s="26" t="s">
        <v>394</v>
      </c>
      <c r="D44" s="26" t="s">
        <v>398</v>
      </c>
      <c r="E44" s="4" t="s">
        <v>351</v>
      </c>
      <c r="F44" s="4" t="s">
        <v>419</v>
      </c>
      <c r="G44" s="5" t="s">
        <v>420</v>
      </c>
      <c r="H44" s="4" t="s">
        <v>421</v>
      </c>
      <c r="I44" s="4" t="s">
        <v>318</v>
      </c>
      <c r="J44" s="4" t="s">
        <v>239</v>
      </c>
      <c r="K44" s="32" t="s">
        <v>398</v>
      </c>
      <c r="L44" s="4" t="s">
        <v>422</v>
      </c>
    </row>
    <row r="45" spans="1:12">
      <c r="A45" s="29" t="s">
        <v>367</v>
      </c>
      <c r="B45" s="4" t="s">
        <v>399</v>
      </c>
      <c r="C45" s="26" t="s">
        <v>394</v>
      </c>
      <c r="D45" s="26" t="s">
        <v>398</v>
      </c>
      <c r="E45" s="4" t="s">
        <v>356</v>
      </c>
      <c r="F45" s="4" t="s">
        <v>423</v>
      </c>
      <c r="G45" s="5" t="s">
        <v>424</v>
      </c>
      <c r="H45" s="4" t="s">
        <v>425</v>
      </c>
      <c r="I45" s="4" t="s">
        <v>318</v>
      </c>
      <c r="J45" s="4" t="s">
        <v>239</v>
      </c>
      <c r="K45" s="32" t="s">
        <v>398</v>
      </c>
      <c r="L45" s="4" t="s">
        <v>426</v>
      </c>
    </row>
    <row r="46" spans="1:12">
      <c r="A46" t="s">
        <v>427</v>
      </c>
      <c r="B46" s="4" t="s">
        <v>428</v>
      </c>
      <c r="C46" s="28" t="s">
        <v>81</v>
      </c>
      <c r="D46" s="26" t="s">
        <v>429</v>
      </c>
      <c r="E46" s="4" t="s">
        <v>359</v>
      </c>
      <c r="F46" s="4" t="s">
        <v>371</v>
      </c>
      <c r="G46" s="5" t="s">
        <v>372</v>
      </c>
      <c r="H46" s="4" t="s">
        <v>430</v>
      </c>
      <c r="I46" s="4" t="s">
        <v>232</v>
      </c>
      <c r="J46" s="4" t="s">
        <v>233</v>
      </c>
      <c r="K46" s="32" t="s">
        <v>429</v>
      </c>
      <c r="L46" s="4" t="s">
        <v>374</v>
      </c>
    </row>
    <row r="47" spans="1:12">
      <c r="A47" t="s">
        <v>427</v>
      </c>
      <c r="B47" s="4" t="s">
        <v>428</v>
      </c>
      <c r="C47" s="28" t="s">
        <v>81</v>
      </c>
      <c r="D47" s="26" t="s">
        <v>429</v>
      </c>
      <c r="E47" s="4" t="s">
        <v>362</v>
      </c>
      <c r="F47" s="4" t="s">
        <v>376</v>
      </c>
      <c r="G47" s="5" t="s">
        <v>377</v>
      </c>
      <c r="H47" s="4" t="s">
        <v>376</v>
      </c>
      <c r="I47" s="4" t="s">
        <v>274</v>
      </c>
      <c r="J47" s="4" t="s">
        <v>239</v>
      </c>
      <c r="K47" s="32" t="s">
        <v>429</v>
      </c>
      <c r="L47" s="4" t="s">
        <v>378</v>
      </c>
    </row>
    <row r="48" spans="1:12">
      <c r="A48" t="s">
        <v>427</v>
      </c>
      <c r="B48" s="4" t="s">
        <v>428</v>
      </c>
      <c r="C48" s="28" t="s">
        <v>81</v>
      </c>
      <c r="D48" s="26" t="s">
        <v>429</v>
      </c>
      <c r="E48" s="4" t="s">
        <v>370</v>
      </c>
      <c r="F48" s="4" t="s">
        <v>380</v>
      </c>
      <c r="G48" s="5" t="s">
        <v>381</v>
      </c>
      <c r="H48" s="4" t="s">
        <v>380</v>
      </c>
      <c r="I48" s="4" t="s">
        <v>382</v>
      </c>
      <c r="J48" s="4" t="s">
        <v>239</v>
      </c>
      <c r="K48" s="32" t="s">
        <v>429</v>
      </c>
      <c r="L48" s="4" t="s">
        <v>383</v>
      </c>
    </row>
    <row r="49" spans="1:12">
      <c r="A49" t="s">
        <v>427</v>
      </c>
      <c r="B49" s="4" t="s">
        <v>428</v>
      </c>
      <c r="C49" s="28" t="s">
        <v>81</v>
      </c>
      <c r="D49" s="26" t="s">
        <v>429</v>
      </c>
      <c r="E49" s="4" t="s">
        <v>375</v>
      </c>
      <c r="F49" s="4" t="s">
        <v>431</v>
      </c>
      <c r="G49" s="5" t="s">
        <v>432</v>
      </c>
      <c r="H49" s="4" t="s">
        <v>431</v>
      </c>
      <c r="I49" s="4" t="s">
        <v>382</v>
      </c>
      <c r="J49" s="4" t="s">
        <v>239</v>
      </c>
      <c r="K49" s="32" t="s">
        <v>429</v>
      </c>
      <c r="L49" s="4" t="s">
        <v>433</v>
      </c>
    </row>
    <row r="50" spans="1:12">
      <c r="A50" t="s">
        <v>427</v>
      </c>
      <c r="B50" s="4" t="s">
        <v>428</v>
      </c>
      <c r="C50" s="28" t="s">
        <v>81</v>
      </c>
      <c r="D50" s="26" t="s">
        <v>429</v>
      </c>
      <c r="E50" s="4" t="s">
        <v>379</v>
      </c>
      <c r="F50" s="4" t="s">
        <v>434</v>
      </c>
      <c r="G50" s="5" t="s">
        <v>353</v>
      </c>
      <c r="H50" s="4" t="s">
        <v>435</v>
      </c>
      <c r="I50" s="4" t="s">
        <v>232</v>
      </c>
      <c r="J50" s="4" t="s">
        <v>239</v>
      </c>
      <c r="K50" s="32" t="s">
        <v>429</v>
      </c>
      <c r="L50" s="4" t="s">
        <v>355</v>
      </c>
    </row>
    <row r="51" spans="1:12">
      <c r="A51" t="s">
        <v>427</v>
      </c>
      <c r="B51" s="4" t="s">
        <v>428</v>
      </c>
      <c r="C51" s="28" t="s">
        <v>81</v>
      </c>
      <c r="D51" s="26" t="s">
        <v>429</v>
      </c>
      <c r="E51" s="4" t="s">
        <v>384</v>
      </c>
      <c r="F51" s="4" t="s">
        <v>5</v>
      </c>
      <c r="G51" s="5" t="s">
        <v>436</v>
      </c>
      <c r="H51" s="4" t="s">
        <v>437</v>
      </c>
      <c r="I51" s="4" t="s">
        <v>250</v>
      </c>
      <c r="J51" s="4" t="s">
        <v>239</v>
      </c>
      <c r="K51" s="32" t="s">
        <v>429</v>
      </c>
      <c r="L51" s="4" t="s">
        <v>438</v>
      </c>
    </row>
    <row r="52" s="30" customFormat="1" spans="1:12">
      <c r="A52" s="30" t="s">
        <v>427</v>
      </c>
      <c r="B52" s="37" t="s">
        <v>428</v>
      </c>
      <c r="C52" s="34" t="s">
        <v>81</v>
      </c>
      <c r="D52" s="38" t="s">
        <v>429</v>
      </c>
      <c r="E52" s="37" t="s">
        <v>387</v>
      </c>
      <c r="F52" s="35" t="s">
        <v>439</v>
      </c>
      <c r="G52" s="35" t="s">
        <v>440</v>
      </c>
      <c r="H52" s="35" t="s">
        <v>396</v>
      </c>
      <c r="I52" s="35" t="s">
        <v>441</v>
      </c>
      <c r="J52" s="33" t="s">
        <v>239</v>
      </c>
      <c r="K52" s="39" t="s">
        <v>429</v>
      </c>
      <c r="L52" s="33" t="s">
        <v>398</v>
      </c>
    </row>
    <row r="53" spans="1:12">
      <c r="A53" s="30" t="s">
        <v>427</v>
      </c>
      <c r="B53" s="4" t="s">
        <v>442</v>
      </c>
      <c r="C53" s="26" t="s">
        <v>439</v>
      </c>
      <c r="D53" s="26" t="s">
        <v>443</v>
      </c>
      <c r="E53" s="4" t="s">
        <v>444</v>
      </c>
      <c r="F53" s="4" t="s">
        <v>400</v>
      </c>
      <c r="G53" s="5" t="s">
        <v>401</v>
      </c>
      <c r="H53" s="4" t="s">
        <v>402</v>
      </c>
      <c r="I53" s="4" t="s">
        <v>232</v>
      </c>
      <c r="J53" s="4" t="s">
        <v>233</v>
      </c>
      <c r="K53" s="32" t="s">
        <v>443</v>
      </c>
      <c r="L53" s="4" t="s">
        <v>403</v>
      </c>
    </row>
    <row r="54" spans="1:12">
      <c r="A54" s="30" t="s">
        <v>427</v>
      </c>
      <c r="B54" s="4" t="s">
        <v>442</v>
      </c>
      <c r="C54" s="26" t="s">
        <v>439</v>
      </c>
      <c r="D54" s="26" t="s">
        <v>443</v>
      </c>
      <c r="E54" s="4" t="s">
        <v>445</v>
      </c>
      <c r="F54" s="4" t="s">
        <v>371</v>
      </c>
      <c r="G54" s="5" t="s">
        <v>372</v>
      </c>
      <c r="H54" s="4" t="s">
        <v>446</v>
      </c>
      <c r="I54" s="4" t="s">
        <v>232</v>
      </c>
      <c r="J54" s="4" t="s">
        <v>239</v>
      </c>
      <c r="K54" s="32" t="s">
        <v>443</v>
      </c>
      <c r="L54" s="4" t="s">
        <v>374</v>
      </c>
    </row>
    <row r="55" spans="1:12">
      <c r="A55" s="30" t="s">
        <v>427</v>
      </c>
      <c r="B55" s="4" t="s">
        <v>442</v>
      </c>
      <c r="C55" s="26" t="s">
        <v>439</v>
      </c>
      <c r="D55" s="26" t="s">
        <v>443</v>
      </c>
      <c r="E55" s="4" t="s">
        <v>447</v>
      </c>
      <c r="F55" s="4" t="s">
        <v>405</v>
      </c>
      <c r="G55" s="5" t="s">
        <v>288</v>
      </c>
      <c r="H55" s="4" t="s">
        <v>406</v>
      </c>
      <c r="I55" s="4" t="s">
        <v>232</v>
      </c>
      <c r="J55" s="4" t="s">
        <v>239</v>
      </c>
      <c r="K55" s="32" t="s">
        <v>443</v>
      </c>
      <c r="L55" s="4" t="s">
        <v>290</v>
      </c>
    </row>
    <row r="56" spans="1:12">
      <c r="A56" s="30" t="s">
        <v>427</v>
      </c>
      <c r="B56" s="4" t="s">
        <v>442</v>
      </c>
      <c r="C56" s="26" t="s">
        <v>439</v>
      </c>
      <c r="D56" s="26" t="s">
        <v>443</v>
      </c>
      <c r="E56" s="4" t="s">
        <v>448</v>
      </c>
      <c r="F56" s="4" t="s">
        <v>449</v>
      </c>
      <c r="G56" s="5" t="s">
        <v>410</v>
      </c>
      <c r="H56" s="4" t="s">
        <v>449</v>
      </c>
      <c r="I56" s="4" t="s">
        <v>318</v>
      </c>
      <c r="J56" s="4" t="s">
        <v>239</v>
      </c>
      <c r="K56" s="32" t="s">
        <v>443</v>
      </c>
      <c r="L56" s="4" t="s">
        <v>412</v>
      </c>
    </row>
    <row r="57" spans="1:12">
      <c r="A57" s="30" t="s">
        <v>427</v>
      </c>
      <c r="B57" s="4" t="s">
        <v>442</v>
      </c>
      <c r="C57" s="26" t="s">
        <v>439</v>
      </c>
      <c r="D57" s="26" t="s">
        <v>443</v>
      </c>
      <c r="E57" s="4" t="s">
        <v>450</v>
      </c>
      <c r="F57" s="4" t="s">
        <v>451</v>
      </c>
      <c r="G57" s="5" t="s">
        <v>414</v>
      </c>
      <c r="H57" s="4" t="s">
        <v>451</v>
      </c>
      <c r="I57" s="4" t="s">
        <v>318</v>
      </c>
      <c r="J57" s="4" t="s">
        <v>239</v>
      </c>
      <c r="K57" s="32" t="s">
        <v>443</v>
      </c>
      <c r="L57" s="4" t="s">
        <v>415</v>
      </c>
    </row>
    <row r="58" spans="1:12">
      <c r="A58" s="30" t="s">
        <v>427</v>
      </c>
      <c r="B58" s="4" t="s">
        <v>442</v>
      </c>
      <c r="C58" s="26" t="s">
        <v>439</v>
      </c>
      <c r="D58" s="26" t="s">
        <v>443</v>
      </c>
      <c r="E58" s="4" t="s">
        <v>452</v>
      </c>
      <c r="F58" s="4" t="s">
        <v>453</v>
      </c>
      <c r="G58" s="5" t="s">
        <v>454</v>
      </c>
      <c r="H58" s="4" t="s">
        <v>455</v>
      </c>
      <c r="I58" s="4" t="s">
        <v>382</v>
      </c>
      <c r="J58" s="4" t="s">
        <v>239</v>
      </c>
      <c r="K58" s="32" t="s">
        <v>443</v>
      </c>
      <c r="L58" s="4" t="s">
        <v>456</v>
      </c>
    </row>
    <row r="59" spans="1:12">
      <c r="A59" t="s">
        <v>457</v>
      </c>
      <c r="B59" s="4" t="s">
        <v>458</v>
      </c>
      <c r="C59" s="28" t="s">
        <v>87</v>
      </c>
      <c r="D59" s="28" t="s">
        <v>459</v>
      </c>
      <c r="E59" s="4" t="s">
        <v>460</v>
      </c>
      <c r="F59" s="5" t="s">
        <v>461</v>
      </c>
      <c r="G59" s="5" t="s">
        <v>462</v>
      </c>
      <c r="H59" s="4" t="s">
        <v>463</v>
      </c>
      <c r="I59" s="4" t="s">
        <v>232</v>
      </c>
      <c r="J59" s="4" t="s">
        <v>233</v>
      </c>
      <c r="K59" s="40" t="s">
        <v>459</v>
      </c>
      <c r="L59" s="4" t="s">
        <v>464</v>
      </c>
    </row>
    <row r="60" spans="1:12">
      <c r="A60" t="s">
        <v>457</v>
      </c>
      <c r="B60" s="4" t="s">
        <v>458</v>
      </c>
      <c r="C60" s="28" t="s">
        <v>87</v>
      </c>
      <c r="D60" s="28" t="s">
        <v>459</v>
      </c>
      <c r="E60" s="4" t="s">
        <v>465</v>
      </c>
      <c r="F60" s="4" t="s">
        <v>405</v>
      </c>
      <c r="G60" s="5" t="s">
        <v>288</v>
      </c>
      <c r="H60" s="4" t="s">
        <v>406</v>
      </c>
      <c r="I60" s="4" t="s">
        <v>232</v>
      </c>
      <c r="J60" s="4" t="s">
        <v>239</v>
      </c>
      <c r="K60" s="40" t="s">
        <v>459</v>
      </c>
      <c r="L60" s="4" t="s">
        <v>290</v>
      </c>
    </row>
    <row r="61" spans="1:12">
      <c r="A61" t="s">
        <v>457</v>
      </c>
      <c r="B61" s="4" t="s">
        <v>458</v>
      </c>
      <c r="C61" s="28" t="s">
        <v>87</v>
      </c>
      <c r="D61" s="28" t="s">
        <v>459</v>
      </c>
      <c r="E61" s="4" t="s">
        <v>466</v>
      </c>
      <c r="F61" s="4" t="s">
        <v>467</v>
      </c>
      <c r="G61" s="5" t="s">
        <v>468</v>
      </c>
      <c r="H61" s="4" t="s">
        <v>469</v>
      </c>
      <c r="I61" s="4" t="s">
        <v>470</v>
      </c>
      <c r="J61" s="4" t="s">
        <v>239</v>
      </c>
      <c r="K61" s="40" t="s">
        <v>459</v>
      </c>
      <c r="L61" s="4" t="s">
        <v>471</v>
      </c>
    </row>
    <row r="62" spans="1:12">
      <c r="A62" t="s">
        <v>457</v>
      </c>
      <c r="B62" s="4" t="s">
        <v>458</v>
      </c>
      <c r="C62" s="28" t="s">
        <v>87</v>
      </c>
      <c r="D62" s="28" t="s">
        <v>459</v>
      </c>
      <c r="E62" s="4" t="s">
        <v>472</v>
      </c>
      <c r="F62" s="4" t="s">
        <v>473</v>
      </c>
      <c r="G62" s="4" t="s">
        <v>474</v>
      </c>
      <c r="H62" s="4" t="s">
        <v>475</v>
      </c>
      <c r="I62" s="4" t="s">
        <v>318</v>
      </c>
      <c r="J62" s="4" t="s">
        <v>239</v>
      </c>
      <c r="K62" s="40" t="s">
        <v>459</v>
      </c>
      <c r="L62" s="4" t="s">
        <v>474</v>
      </c>
    </row>
    <row r="63" spans="1:12">
      <c r="A63" t="s">
        <v>457</v>
      </c>
      <c r="B63" s="4" t="s">
        <v>458</v>
      </c>
      <c r="C63" s="28" t="s">
        <v>87</v>
      </c>
      <c r="D63" s="28" t="s">
        <v>459</v>
      </c>
      <c r="E63" s="4" t="s">
        <v>476</v>
      </c>
      <c r="F63" s="4" t="s">
        <v>477</v>
      </c>
      <c r="G63" s="5" t="s">
        <v>478</v>
      </c>
      <c r="H63" s="4" t="s">
        <v>479</v>
      </c>
      <c r="I63" s="4" t="s">
        <v>318</v>
      </c>
      <c r="J63" s="4" t="s">
        <v>239</v>
      </c>
      <c r="K63" s="40" t="s">
        <v>459</v>
      </c>
      <c r="L63" s="4" t="s">
        <v>480</v>
      </c>
    </row>
    <row r="64" spans="1:12">
      <c r="A64" t="s">
        <v>457</v>
      </c>
      <c r="B64" s="4" t="s">
        <v>458</v>
      </c>
      <c r="C64" s="28" t="s">
        <v>87</v>
      </c>
      <c r="D64" s="28" t="s">
        <v>459</v>
      </c>
      <c r="E64" s="4" t="s">
        <v>481</v>
      </c>
      <c r="F64" s="4" t="s">
        <v>482</v>
      </c>
      <c r="G64" s="5" t="s">
        <v>483</v>
      </c>
      <c r="H64" s="4" t="s">
        <v>484</v>
      </c>
      <c r="I64" s="4" t="s">
        <v>250</v>
      </c>
      <c r="J64" s="4" t="s">
        <v>239</v>
      </c>
      <c r="K64" s="40" t="s">
        <v>459</v>
      </c>
      <c r="L64" s="4" t="s">
        <v>485</v>
      </c>
    </row>
    <row r="65" spans="1:12">
      <c r="A65" t="s">
        <v>486</v>
      </c>
      <c r="B65" s="5" t="s">
        <v>487</v>
      </c>
      <c r="C65" s="28" t="s">
        <v>89</v>
      </c>
      <c r="D65" s="28" t="s">
        <v>488</v>
      </c>
      <c r="E65" s="4" t="s">
        <v>460</v>
      </c>
      <c r="F65" s="4" t="s">
        <v>489</v>
      </c>
      <c r="G65" s="5" t="s">
        <v>462</v>
      </c>
      <c r="H65" s="4" t="s">
        <v>463</v>
      </c>
      <c r="I65" s="4" t="s">
        <v>232</v>
      </c>
      <c r="J65" s="4" t="s">
        <v>233</v>
      </c>
      <c r="K65" s="40" t="s">
        <v>488</v>
      </c>
      <c r="L65" s="4" t="s">
        <v>464</v>
      </c>
    </row>
    <row r="66" spans="1:12">
      <c r="A66" t="s">
        <v>486</v>
      </c>
      <c r="B66" s="5" t="s">
        <v>487</v>
      </c>
      <c r="C66" s="28" t="s">
        <v>89</v>
      </c>
      <c r="D66" s="28" t="s">
        <v>488</v>
      </c>
      <c r="E66" s="4" t="s">
        <v>465</v>
      </c>
      <c r="F66" s="4" t="s">
        <v>405</v>
      </c>
      <c r="G66" s="5" t="s">
        <v>288</v>
      </c>
      <c r="H66" s="4" t="s">
        <v>406</v>
      </c>
      <c r="I66" s="4" t="s">
        <v>232</v>
      </c>
      <c r="J66" s="4" t="s">
        <v>239</v>
      </c>
      <c r="K66" s="40" t="s">
        <v>488</v>
      </c>
      <c r="L66" s="4" t="s">
        <v>290</v>
      </c>
    </row>
    <row r="67" spans="1:12">
      <c r="A67" t="s">
        <v>486</v>
      </c>
      <c r="B67" s="5" t="s">
        <v>487</v>
      </c>
      <c r="C67" s="28" t="s">
        <v>89</v>
      </c>
      <c r="D67" s="28" t="s">
        <v>488</v>
      </c>
      <c r="E67" s="4" t="s">
        <v>466</v>
      </c>
      <c r="F67" s="4" t="s">
        <v>467</v>
      </c>
      <c r="G67" s="5" t="s">
        <v>468</v>
      </c>
      <c r="H67" s="4" t="s">
        <v>469</v>
      </c>
      <c r="I67" s="4" t="s">
        <v>470</v>
      </c>
      <c r="J67" s="4" t="s">
        <v>239</v>
      </c>
      <c r="K67" s="40" t="s">
        <v>488</v>
      </c>
      <c r="L67" s="4" t="s">
        <v>471</v>
      </c>
    </row>
    <row r="68" spans="1:12">
      <c r="A68" t="s">
        <v>486</v>
      </c>
      <c r="B68" s="5" t="s">
        <v>487</v>
      </c>
      <c r="C68" s="28" t="s">
        <v>89</v>
      </c>
      <c r="D68" s="28" t="s">
        <v>488</v>
      </c>
      <c r="E68" s="4" t="s">
        <v>490</v>
      </c>
      <c r="F68" s="4" t="s">
        <v>491</v>
      </c>
      <c r="G68" s="5" t="s">
        <v>492</v>
      </c>
      <c r="H68" s="4" t="s">
        <v>493</v>
      </c>
      <c r="I68" s="4" t="s">
        <v>318</v>
      </c>
      <c r="J68" s="4" t="s">
        <v>239</v>
      </c>
      <c r="K68" s="40" t="s">
        <v>488</v>
      </c>
      <c r="L68" s="4" t="s">
        <v>494</v>
      </c>
    </row>
    <row r="69" spans="1:12">
      <c r="A69" t="s">
        <v>486</v>
      </c>
      <c r="B69" s="5" t="s">
        <v>487</v>
      </c>
      <c r="C69" s="28" t="s">
        <v>89</v>
      </c>
      <c r="D69" s="28" t="s">
        <v>488</v>
      </c>
      <c r="E69" s="4" t="s">
        <v>495</v>
      </c>
      <c r="F69" s="4" t="s">
        <v>496</v>
      </c>
      <c r="G69" s="5" t="s">
        <v>497</v>
      </c>
      <c r="H69" s="4" t="s">
        <v>498</v>
      </c>
      <c r="I69" s="4" t="s">
        <v>318</v>
      </c>
      <c r="J69" s="4" t="s">
        <v>239</v>
      </c>
      <c r="K69" s="40" t="s">
        <v>488</v>
      </c>
      <c r="L69" s="4" t="s">
        <v>499</v>
      </c>
    </row>
    <row r="70" spans="1:12">
      <c r="A70" t="s">
        <v>486</v>
      </c>
      <c r="B70" s="5" t="s">
        <v>487</v>
      </c>
      <c r="C70" s="28" t="s">
        <v>89</v>
      </c>
      <c r="D70" s="28" t="s">
        <v>488</v>
      </c>
      <c r="E70" s="4" t="s">
        <v>481</v>
      </c>
      <c r="F70" s="4" t="s">
        <v>482</v>
      </c>
      <c r="G70" s="5" t="s">
        <v>483</v>
      </c>
      <c r="H70" s="4" t="s">
        <v>484</v>
      </c>
      <c r="I70" s="4" t="s">
        <v>250</v>
      </c>
      <c r="J70" s="4" t="s">
        <v>239</v>
      </c>
      <c r="K70" s="40" t="s">
        <v>488</v>
      </c>
      <c r="L70" s="4" t="s">
        <v>485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2:L70" etc:filterBottomFollowUsedRange="1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G6" sqref="G6"/>
    </sheetView>
  </sheetViews>
  <sheetFormatPr defaultColWidth="9" defaultRowHeight="13.5"/>
  <cols>
    <col min="1" max="2" width="12" customWidth="1"/>
    <col min="3" max="4" width="12" style="11" customWidth="1"/>
    <col min="5" max="5" width="12" customWidth="1"/>
    <col min="6" max="6" width="12.1666666666667" style="11" customWidth="1"/>
    <col min="7" max="7" width="8.91666666666667" style="11" customWidth="1"/>
    <col min="8" max="8" width="13.4166666666667" customWidth="1"/>
    <col min="9" max="9" width="22.125" customWidth="1"/>
    <col min="10" max="10" width="28" customWidth="1"/>
    <col min="11" max="11" width="15.25" customWidth="1"/>
  </cols>
  <sheetData>
    <row r="1" spans="1:11">
      <c r="A1" s="27" t="s">
        <v>500</v>
      </c>
    </row>
    <row r="2" ht="27" spans="1:11">
      <c r="A2" s="1" t="s">
        <v>501</v>
      </c>
      <c r="B2" s="1" t="s">
        <v>502</v>
      </c>
      <c r="C2" s="21" t="s">
        <v>503</v>
      </c>
      <c r="D2" s="21"/>
      <c r="E2" s="1" t="s">
        <v>504</v>
      </c>
      <c r="F2" s="21" t="s">
        <v>505</v>
      </c>
      <c r="G2" s="21"/>
      <c r="H2" s="1" t="s">
        <v>506</v>
      </c>
      <c r="I2" s="1" t="s">
        <v>507</v>
      </c>
      <c r="J2" s="1" t="s">
        <v>508</v>
      </c>
    </row>
    <row r="3" spans="1:11">
      <c r="A3" s="4" t="s">
        <v>509</v>
      </c>
      <c r="B3" s="4" t="s">
        <v>226</v>
      </c>
      <c r="C3" s="26" t="s">
        <v>79</v>
      </c>
      <c r="D3" s="26" t="str">
        <f>VLOOKUP(C3,'业务对象（对象类型）'!B:C,2,FALSE)</f>
        <v>BO0005</v>
      </c>
      <c r="E3" s="4" t="s">
        <v>226</v>
      </c>
      <c r="F3" s="26" t="s">
        <v>79</v>
      </c>
      <c r="G3" s="26" t="str">
        <f>VLOOKUP(F3,'业务对象（对象类型）'!B:C,2,FALSE)</f>
        <v>BO0005</v>
      </c>
      <c r="H3" s="4" t="s">
        <v>510</v>
      </c>
      <c r="I3" s="4" t="s">
        <v>511</v>
      </c>
      <c r="J3" s="4" t="s">
        <v>512</v>
      </c>
    </row>
    <row r="4" spans="1:11">
      <c r="A4" s="4" t="s">
        <v>513</v>
      </c>
      <c r="B4" s="4" t="s">
        <v>226</v>
      </c>
      <c r="C4" s="26" t="s">
        <v>79</v>
      </c>
      <c r="D4" s="26" t="str">
        <f>VLOOKUP(C4,'业务对象（对象类型）'!B:C,2,FALSE)</f>
        <v>BO0005</v>
      </c>
      <c r="E4" s="4" t="s">
        <v>264</v>
      </c>
      <c r="F4" s="26" t="s">
        <v>77</v>
      </c>
      <c r="G4" s="26" t="str">
        <f>VLOOKUP(F4,'业务对象（对象类型）'!B:C,2,FALSE)</f>
        <v>BO0004</v>
      </c>
      <c r="H4" s="4" t="s">
        <v>510</v>
      </c>
      <c r="I4" s="4" t="s">
        <v>514</v>
      </c>
      <c r="J4" s="5" t="s">
        <v>515</v>
      </c>
    </row>
    <row r="5" spans="1:11">
      <c r="A5" s="4" t="s">
        <v>516</v>
      </c>
      <c r="B5" s="4" t="s">
        <v>326</v>
      </c>
      <c r="C5" s="26" t="s">
        <v>71</v>
      </c>
      <c r="D5" s="26" t="str">
        <f>VLOOKUP(C5,'业务对象（对象类型）'!B:C,2,FALSE)</f>
        <v>BO0001</v>
      </c>
      <c r="E5" s="4" t="s">
        <v>368</v>
      </c>
      <c r="F5" s="28" t="s">
        <v>83</v>
      </c>
      <c r="G5" s="26" t="str">
        <f>VLOOKUP(F5,'业务对象（对象类型）'!B:C,2,FALSE)</f>
        <v>BO0007</v>
      </c>
      <c r="H5" s="4" t="s">
        <v>510</v>
      </c>
      <c r="I5" s="4" t="s">
        <v>517</v>
      </c>
      <c r="J5" s="5" t="s">
        <v>518</v>
      </c>
    </row>
    <row r="6" spans="1:11">
      <c r="A6" s="4" t="s">
        <v>519</v>
      </c>
      <c r="B6" s="4" t="s">
        <v>226</v>
      </c>
      <c r="C6" s="26" t="s">
        <v>79</v>
      </c>
      <c r="D6" s="26" t="str">
        <f>VLOOKUP(C6,'业务对象（对象类型）'!B:C,2,FALSE)</f>
        <v>BO0005</v>
      </c>
      <c r="E6" s="4" t="s">
        <v>368</v>
      </c>
      <c r="F6" s="28" t="s">
        <v>83</v>
      </c>
      <c r="G6" s="26" t="str">
        <f>VLOOKUP(F6,'业务对象（对象类型）'!B:C,2,FALSE)</f>
        <v>BO0007</v>
      </c>
      <c r="H6" s="4" t="s">
        <v>510</v>
      </c>
      <c r="I6" s="4" t="s">
        <v>520</v>
      </c>
      <c r="J6" s="5" t="s">
        <v>521</v>
      </c>
    </row>
    <row r="7" spans="1:11">
      <c r="A7" s="4" t="s">
        <v>522</v>
      </c>
      <c r="B7" s="4" t="s">
        <v>284</v>
      </c>
      <c r="C7" s="26" t="s">
        <v>77</v>
      </c>
      <c r="D7" s="26" t="str">
        <f>VLOOKUP(C7,'业务对象（对象类型）'!B:C,2,FALSE)</f>
        <v>BO0004</v>
      </c>
      <c r="E7" s="4" t="s">
        <v>399</v>
      </c>
      <c r="F7" s="28" t="s">
        <v>83</v>
      </c>
      <c r="G7" s="26" t="str">
        <f>VLOOKUP(F7,'业务对象（对象类型）'!B:C,2,FALSE)</f>
        <v>BO0007</v>
      </c>
      <c r="H7" s="4" t="s">
        <v>510</v>
      </c>
      <c r="I7" s="4" t="s">
        <v>523</v>
      </c>
      <c r="J7" s="4" t="s">
        <v>524</v>
      </c>
      <c r="K7" s="4"/>
    </row>
    <row r="8" spans="1:11">
      <c r="A8" s="4" t="s">
        <v>525</v>
      </c>
      <c r="B8" s="4" t="s">
        <v>349</v>
      </c>
      <c r="C8" s="26" t="s">
        <v>73</v>
      </c>
      <c r="D8" s="26" t="str">
        <f>VLOOKUP(C8,'业务对象（对象类型）'!B:C,2,FALSE)</f>
        <v>BO0002</v>
      </c>
      <c r="E8" s="4" t="s">
        <v>428</v>
      </c>
      <c r="F8" s="28" t="s">
        <v>81</v>
      </c>
      <c r="G8" s="26" t="str">
        <f>VLOOKUP(F8,'业务对象（对象类型）'!B:C,2,FALSE)</f>
        <v>BO0006</v>
      </c>
      <c r="H8" s="4" t="s">
        <v>510</v>
      </c>
      <c r="I8" s="4" t="s">
        <v>526</v>
      </c>
      <c r="J8" s="4" t="s">
        <v>527</v>
      </c>
      <c r="K8" s="4"/>
    </row>
    <row r="9" spans="1:11">
      <c r="A9" s="4" t="s">
        <v>528</v>
      </c>
      <c r="B9" s="4" t="s">
        <v>284</v>
      </c>
      <c r="C9" s="26" t="s">
        <v>75</v>
      </c>
      <c r="D9" s="26" t="str">
        <f>VLOOKUP(C9,'业务对象（对象类型）'!B:C,2,FALSE)</f>
        <v>BO0003</v>
      </c>
      <c r="E9" s="4" t="s">
        <v>442</v>
      </c>
      <c r="F9" s="28" t="s">
        <v>81</v>
      </c>
      <c r="G9" s="26" t="str">
        <f>VLOOKUP(F9,'业务对象（对象类型）'!B:C,2,FALSE)</f>
        <v>BO0006</v>
      </c>
      <c r="H9" s="4" t="s">
        <v>510</v>
      </c>
      <c r="I9" s="4" t="s">
        <v>529</v>
      </c>
      <c r="J9" s="4" t="s">
        <v>524</v>
      </c>
      <c r="K9" s="4"/>
    </row>
    <row r="10" spans="1:11">
      <c r="A10" s="4" t="s">
        <v>530</v>
      </c>
      <c r="B10" s="4" t="s">
        <v>284</v>
      </c>
      <c r="C10" s="26" t="s">
        <v>75</v>
      </c>
      <c r="D10" s="26" t="str">
        <f>VLOOKUP(C10,'业务对象（对象类型）'!B:C,2,FALSE)</f>
        <v>BO0003</v>
      </c>
      <c r="E10" s="4" t="s">
        <v>531</v>
      </c>
      <c r="F10" s="28" t="s">
        <v>85</v>
      </c>
      <c r="G10" s="26" t="str">
        <f>VLOOKUP(F10,'业务对象（对象类型）'!B:C,2,FALSE)</f>
        <v>BO0008</v>
      </c>
      <c r="H10" s="4" t="s">
        <v>510</v>
      </c>
      <c r="I10" s="4" t="s">
        <v>532</v>
      </c>
      <c r="J10" s="4" t="s">
        <v>524</v>
      </c>
      <c r="K10" s="4"/>
    </row>
    <row r="11" spans="1:11">
      <c r="A11" s="4" t="s">
        <v>533</v>
      </c>
      <c r="B11" s="4" t="s">
        <v>284</v>
      </c>
      <c r="C11" s="26" t="s">
        <v>75</v>
      </c>
      <c r="D11" s="26" t="str">
        <f>VLOOKUP(C11,'业务对象（对象类型）'!B:C,2,FALSE)</f>
        <v>BO0003</v>
      </c>
      <c r="E11" s="4" t="s">
        <v>458</v>
      </c>
      <c r="F11" s="28" t="s">
        <v>87</v>
      </c>
      <c r="G11" s="26" t="str">
        <f>VLOOKUP(F11,'业务对象（对象类型）'!B:C,2,FALSE)</f>
        <v>BO0009</v>
      </c>
      <c r="H11" s="4" t="s">
        <v>510</v>
      </c>
      <c r="I11" s="4" t="s">
        <v>534</v>
      </c>
      <c r="J11" s="4" t="s">
        <v>524</v>
      </c>
      <c r="K11" s="4"/>
    </row>
    <row r="12" spans="1:11">
      <c r="A12" s="4" t="s">
        <v>533</v>
      </c>
      <c r="B12" s="4" t="s">
        <v>284</v>
      </c>
      <c r="C12" s="26" t="s">
        <v>75</v>
      </c>
      <c r="D12" s="26" t="str">
        <f>VLOOKUP(C12,'业务对象（对象类型）'!B:C,2,FALSE)</f>
        <v>BO0003</v>
      </c>
      <c r="E12" s="4" t="s">
        <v>458</v>
      </c>
      <c r="F12" s="28" t="s">
        <v>89</v>
      </c>
      <c r="G12" s="26" t="str">
        <f>VLOOKUP(F12,'业务对象（对象类型）'!B:C,2,FALSE)</f>
        <v>BO0010</v>
      </c>
      <c r="H12" s="4" t="s">
        <v>510</v>
      </c>
      <c r="I12" s="4" t="s">
        <v>534</v>
      </c>
      <c r="J12" s="4" t="s">
        <v>524</v>
      </c>
      <c r="K12" s="4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J12" etc:filterBottomFollowUsedRange="1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5"/>
  <sheetViews>
    <sheetView topLeftCell="C1" workbookViewId="0">
      <pane ySplit="2" topLeftCell="A7" activePane="bottomLeft" state="frozen"/>
      <selection/>
      <selection pane="bottomLeft" activeCell="B15" sqref="B15"/>
    </sheetView>
  </sheetViews>
  <sheetFormatPr defaultColWidth="9" defaultRowHeight="13.5" outlineLevelCol="6"/>
  <cols>
    <col min="1" max="1" width="12" customWidth="1"/>
    <col min="2" max="2" width="17.875" customWidth="1"/>
    <col min="3" max="3" width="52" customWidth="1"/>
    <col min="4" max="4" width="23.2916666666667" customWidth="1"/>
    <col min="5" max="5" width="12" style="11" customWidth="1"/>
    <col min="6" max="6" width="22" customWidth="1"/>
    <col min="7" max="7" width="24" style="11" customWidth="1"/>
  </cols>
  <sheetData>
    <row r="2" ht="14.25" spans="1:7">
      <c r="A2" s="1" t="s">
        <v>535</v>
      </c>
      <c r="B2" s="1" t="s">
        <v>96</v>
      </c>
      <c r="C2" s="1" t="s">
        <v>536</v>
      </c>
      <c r="D2" s="1" t="s">
        <v>537</v>
      </c>
      <c r="E2" s="21" t="s">
        <v>538</v>
      </c>
      <c r="F2" s="1" t="s">
        <v>539</v>
      </c>
      <c r="G2" s="21" t="s">
        <v>540</v>
      </c>
    </row>
    <row r="3" ht="15" spans="1:7">
      <c r="A3" s="22" t="s">
        <v>541</v>
      </c>
      <c r="B3" s="23" t="s">
        <v>542</v>
      </c>
      <c r="C3" s="23" t="s">
        <v>543</v>
      </c>
      <c r="D3" s="24"/>
      <c r="E3" s="23" t="s">
        <v>544</v>
      </c>
      <c r="G3" s="23" t="s">
        <v>81</v>
      </c>
    </row>
    <row r="4" ht="15" spans="1:7">
      <c r="A4" s="22" t="s">
        <v>545</v>
      </c>
      <c r="B4" s="25" t="s">
        <v>546</v>
      </c>
      <c r="C4" s="25" t="s">
        <v>547</v>
      </c>
      <c r="D4" s="22" t="s">
        <v>541</v>
      </c>
      <c r="E4" s="25" t="s">
        <v>548</v>
      </c>
      <c r="G4" s="25" t="s">
        <v>81</v>
      </c>
    </row>
    <row r="5" ht="15" spans="1:7">
      <c r="A5" s="22" t="s">
        <v>549</v>
      </c>
      <c r="B5" s="25" t="s">
        <v>550</v>
      </c>
      <c r="C5" s="25" t="s">
        <v>551</v>
      </c>
      <c r="D5" s="22" t="s">
        <v>545</v>
      </c>
      <c r="E5" s="25" t="s">
        <v>544</v>
      </c>
      <c r="G5" s="25" t="s">
        <v>81</v>
      </c>
    </row>
    <row r="6" ht="15" spans="1:7">
      <c r="A6" s="22" t="s">
        <v>552</v>
      </c>
      <c r="B6" s="25" t="s">
        <v>553</v>
      </c>
      <c r="C6" s="25" t="s">
        <v>554</v>
      </c>
      <c r="D6" s="22" t="s">
        <v>549</v>
      </c>
      <c r="E6" s="25" t="s">
        <v>544</v>
      </c>
      <c r="G6" s="25" t="s">
        <v>81</v>
      </c>
    </row>
    <row r="7" ht="15" spans="1:7">
      <c r="A7" s="22" t="s">
        <v>555</v>
      </c>
      <c r="B7" s="25" t="s">
        <v>556</v>
      </c>
      <c r="C7" s="25" t="s">
        <v>557</v>
      </c>
      <c r="D7" s="22" t="s">
        <v>549</v>
      </c>
      <c r="E7" s="25" t="s">
        <v>544</v>
      </c>
      <c r="G7" s="25" t="s">
        <v>81</v>
      </c>
    </row>
    <row r="8" spans="1:7">
      <c r="A8" s="4"/>
      <c r="B8" s="4"/>
      <c r="C8" s="4"/>
      <c r="D8" s="4"/>
      <c r="E8" s="26"/>
      <c r="F8" s="4"/>
      <c r="G8" s="26"/>
    </row>
    <row r="9" spans="1:7">
      <c r="A9" s="4"/>
      <c r="B9" s="4"/>
      <c r="C9" s="4"/>
      <c r="D9" s="4"/>
      <c r="E9" s="26"/>
      <c r="F9" s="4"/>
      <c r="G9" s="26"/>
    </row>
    <row r="10" spans="1:7">
      <c r="A10" s="4"/>
      <c r="B10" s="4"/>
      <c r="C10" s="4"/>
      <c r="D10" s="4"/>
      <c r="E10" s="26"/>
      <c r="F10" s="4"/>
      <c r="G10" s="26"/>
    </row>
    <row r="11" spans="1:7">
      <c r="A11" s="4"/>
      <c r="B11" s="4"/>
      <c r="C11" s="4"/>
      <c r="D11" s="4"/>
      <c r="E11" s="26"/>
      <c r="F11" s="4"/>
      <c r="G11" s="26"/>
    </row>
    <row r="12" spans="1:7">
      <c r="A12" s="4"/>
      <c r="B12" s="4"/>
      <c r="C12" s="4"/>
      <c r="D12" s="4"/>
      <c r="E12" s="26"/>
      <c r="F12" s="4"/>
      <c r="G12" s="26"/>
    </row>
    <row r="13" spans="1:7">
      <c r="A13" s="4"/>
      <c r="B13" s="4"/>
      <c r="C13" s="4"/>
      <c r="D13" s="4"/>
      <c r="E13" s="26"/>
      <c r="F13" s="4"/>
      <c r="G13" s="26"/>
    </row>
    <row r="14" spans="1:7">
      <c r="A14" s="4"/>
      <c r="B14" s="4"/>
      <c r="C14" s="4"/>
      <c r="D14" s="4"/>
      <c r="E14" s="26"/>
      <c r="F14" s="4"/>
      <c r="G14" s="26"/>
    </row>
    <row r="15" spans="1:7">
      <c r="A15" s="4"/>
      <c r="B15" s="4"/>
      <c r="C15" s="4"/>
      <c r="D15" s="4"/>
      <c r="E15" s="26"/>
      <c r="F15" s="4"/>
      <c r="G15" s="2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G15" etc:filterBottomFollowUsedRange="1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:A2"/>
    </sheetView>
  </sheetViews>
  <sheetFormatPr defaultColWidth="9" defaultRowHeight="13.5" outlineLevelRow="7" outlineLevelCol="5"/>
  <cols>
    <col min="1" max="1" width="12.625" customWidth="1"/>
    <col min="2" max="2" width="17.125" customWidth="1"/>
    <col min="3" max="3" width="18.2083333333333" customWidth="1"/>
    <col min="4" max="4" width="15.6666666666667" customWidth="1"/>
    <col min="5" max="5" width="32" customWidth="1"/>
    <col min="6" max="6" width="23.875" customWidth="1"/>
  </cols>
  <sheetData>
    <row r="1" ht="14.25" spans="1:6">
      <c r="A1" s="19" t="s">
        <v>558</v>
      </c>
      <c r="B1" s="20" t="s">
        <v>559</v>
      </c>
      <c r="C1" s="20" t="s">
        <v>560</v>
      </c>
      <c r="D1" s="19" t="s">
        <v>561</v>
      </c>
      <c r="E1" s="20" t="s">
        <v>33</v>
      </c>
      <c r="F1" s="20" t="s">
        <v>562</v>
      </c>
    </row>
    <row r="2" spans="1:6">
      <c r="B2" s="13" t="s">
        <v>563</v>
      </c>
    </row>
    <row r="3" spans="1:6">
      <c r="B3" s="13" t="s">
        <v>564</v>
      </c>
    </row>
    <row r="4" spans="1:6">
      <c r="B4" s="13" t="s">
        <v>565</v>
      </c>
    </row>
    <row r="5" spans="1:6">
      <c r="B5" s="13" t="s">
        <v>566</v>
      </c>
    </row>
    <row r="6" spans="1:6">
      <c r="B6" s="13" t="s">
        <v>567</v>
      </c>
    </row>
    <row r="7" spans="1:6">
      <c r="B7" s="13" t="s">
        <v>568</v>
      </c>
    </row>
    <row r="8" spans="1:6">
      <c r="B8" s="13" t="s">
        <v>569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opLeftCell="E1" workbookViewId="0">
      <selection activeCell="H2" sqref="H$1:H$1048576"/>
    </sheetView>
  </sheetViews>
  <sheetFormatPr defaultColWidth="9" defaultRowHeight="13.5"/>
  <cols>
    <col min="1" max="1" width="12" customWidth="1"/>
    <col min="2" max="2" width="15" customWidth="1"/>
    <col min="3" max="3" width="18" customWidth="1"/>
    <col min="4" max="4" width="20.25" style="11" customWidth="1"/>
    <col min="5" max="5" width="27.625" style="12" customWidth="1"/>
    <col min="6" max="6" width="38" customWidth="1"/>
    <col min="7" max="7" width="52" customWidth="1"/>
    <col min="8" max="8" width="21" style="11" customWidth="1"/>
    <col min="9" max="9" width="40" customWidth="1"/>
    <col min="10" max="10" width="19" customWidth="1"/>
    <col min="11" max="11" width="28" customWidth="1"/>
    <col min="12" max="12" width="12" customWidth="1"/>
    <col min="13" max="13" width="12" style="11" customWidth="1"/>
    <col min="14" max="14" width="22" customWidth="1"/>
    <col min="15" max="15" width="14" style="11" customWidth="1"/>
    <col min="16" max="17" width="12" style="11" customWidth="1"/>
  </cols>
  <sheetData>
    <row r="1" spans="1:17">
      <c r="A1" s="13" t="s">
        <v>570</v>
      </c>
    </row>
    <row r="2" ht="27" spans="1:17">
      <c r="A2" s="6" t="s">
        <v>571</v>
      </c>
      <c r="B2" s="6" t="s">
        <v>572</v>
      </c>
      <c r="C2" s="6" t="s">
        <v>573</v>
      </c>
      <c r="D2" s="14" t="s">
        <v>574</v>
      </c>
      <c r="E2" s="6" t="s">
        <v>575</v>
      </c>
      <c r="F2" s="6" t="s">
        <v>576</v>
      </c>
      <c r="G2" s="6" t="s">
        <v>577</v>
      </c>
      <c r="H2" s="14" t="s">
        <v>578</v>
      </c>
      <c r="I2" s="6" t="s">
        <v>579</v>
      </c>
      <c r="J2" s="6" t="s">
        <v>580</v>
      </c>
      <c r="K2" s="6" t="s">
        <v>581</v>
      </c>
      <c r="L2" s="6" t="s">
        <v>582</v>
      </c>
      <c r="M2" s="14" t="s">
        <v>583</v>
      </c>
      <c r="N2" s="6" t="s">
        <v>584</v>
      </c>
      <c r="O2" s="14" t="s">
        <v>585</v>
      </c>
      <c r="P2" s="14" t="s">
        <v>586</v>
      </c>
      <c r="Q2" s="14" t="s">
        <v>587</v>
      </c>
    </row>
    <row r="3" ht="57" spans="1:17">
      <c r="A3" s="2" t="s">
        <v>588</v>
      </c>
      <c r="B3" s="3" t="s">
        <v>451</v>
      </c>
      <c r="C3" s="3" t="s">
        <v>589</v>
      </c>
      <c r="D3" s="15" t="s">
        <v>590</v>
      </c>
      <c r="E3" s="3" t="s">
        <v>591</v>
      </c>
      <c r="F3" s="8" t="s">
        <v>592</v>
      </c>
      <c r="G3" s="2" t="s">
        <v>593</v>
      </c>
      <c r="H3" s="16">
        <v>2</v>
      </c>
      <c r="I3" s="10"/>
      <c r="J3" s="2" t="s">
        <v>594</v>
      </c>
      <c r="K3" s="17" t="s">
        <v>415</v>
      </c>
      <c r="L3" s="17" t="s">
        <v>595</v>
      </c>
      <c r="M3" s="18"/>
      <c r="N3" s="17"/>
      <c r="O3" s="18"/>
      <c r="P3" s="18"/>
      <c r="Q3" s="16"/>
    </row>
    <row r="4" ht="57" spans="1:17">
      <c r="A4" s="2" t="s">
        <v>596</v>
      </c>
      <c r="B4" s="3" t="s">
        <v>597</v>
      </c>
      <c r="C4" s="3" t="s">
        <v>598</v>
      </c>
      <c r="D4" s="15" t="s">
        <v>599</v>
      </c>
      <c r="E4" s="3" t="s">
        <v>600</v>
      </c>
      <c r="F4" s="8" t="s">
        <v>601</v>
      </c>
      <c r="G4" s="2" t="s">
        <v>602</v>
      </c>
      <c r="H4" s="16"/>
      <c r="I4" s="10"/>
      <c r="J4" s="17" t="s">
        <v>603</v>
      </c>
      <c r="K4" s="17" t="s">
        <v>415</v>
      </c>
      <c r="L4" s="17" t="s">
        <v>595</v>
      </c>
      <c r="M4" s="18"/>
      <c r="N4" s="17"/>
      <c r="O4" s="18"/>
      <c r="P4" s="18"/>
      <c r="Q4" s="16"/>
    </row>
    <row r="5" ht="85.5" spans="1:17">
      <c r="A5" s="2" t="s">
        <v>604</v>
      </c>
      <c r="B5" s="3" t="s">
        <v>605</v>
      </c>
      <c r="C5" s="3" t="s">
        <v>606</v>
      </c>
      <c r="D5" s="15" t="s">
        <v>607</v>
      </c>
      <c r="E5" s="3" t="s">
        <v>608</v>
      </c>
      <c r="F5" s="3" t="s">
        <v>609</v>
      </c>
      <c r="G5" s="2" t="s">
        <v>610</v>
      </c>
      <c r="H5" s="16"/>
      <c r="I5" s="10"/>
      <c r="J5" s="17" t="s">
        <v>163</v>
      </c>
      <c r="K5" s="17" t="s">
        <v>611</v>
      </c>
      <c r="L5" s="17" t="s">
        <v>595</v>
      </c>
      <c r="M5" s="18"/>
      <c r="N5" s="17"/>
      <c r="O5" s="18"/>
      <c r="P5" s="18"/>
      <c r="Q5" s="16"/>
    </row>
    <row r="6" ht="85.5" spans="1:17">
      <c r="A6" s="2" t="s">
        <v>612</v>
      </c>
      <c r="B6" s="3" t="s">
        <v>613</v>
      </c>
      <c r="C6" s="3" t="s">
        <v>614</v>
      </c>
      <c r="D6" s="15" t="s">
        <v>615</v>
      </c>
      <c r="E6" s="3" t="s">
        <v>616</v>
      </c>
      <c r="F6" s="3" t="s">
        <v>617</v>
      </c>
      <c r="G6" s="2" t="s">
        <v>618</v>
      </c>
      <c r="H6" s="16"/>
      <c r="I6" s="10"/>
      <c r="J6" s="17" t="s">
        <v>163</v>
      </c>
      <c r="K6" s="17" t="s">
        <v>619</v>
      </c>
      <c r="L6" s="17" t="s">
        <v>595</v>
      </c>
      <c r="M6" s="18"/>
      <c r="N6" s="17"/>
      <c r="O6" s="18"/>
      <c r="P6" s="18"/>
      <c r="Q6" s="16"/>
    </row>
    <row r="7" ht="57" spans="1:17">
      <c r="A7" s="2" t="s">
        <v>620</v>
      </c>
      <c r="B7" s="3" t="s">
        <v>479</v>
      </c>
      <c r="C7" s="3" t="s">
        <v>621</v>
      </c>
      <c r="D7" s="15" t="s">
        <v>622</v>
      </c>
      <c r="E7" s="3" t="s">
        <v>623</v>
      </c>
      <c r="F7" s="3" t="s">
        <v>624</v>
      </c>
      <c r="G7" s="2" t="s">
        <v>625</v>
      </c>
      <c r="H7" s="16"/>
      <c r="I7" s="10"/>
      <c r="J7" s="17" t="s">
        <v>165</v>
      </c>
      <c r="K7" s="17" t="s">
        <v>480</v>
      </c>
      <c r="L7" s="17" t="s">
        <v>595</v>
      </c>
      <c r="M7" s="18"/>
      <c r="N7" s="17"/>
      <c r="O7" s="18"/>
      <c r="P7" s="18"/>
      <c r="Q7" s="16"/>
    </row>
    <row r="8" ht="57" spans="1:17">
      <c r="A8" s="2" t="s">
        <v>626</v>
      </c>
      <c r="B8" s="3" t="s">
        <v>498</v>
      </c>
      <c r="C8" s="3" t="s">
        <v>627</v>
      </c>
      <c r="D8" s="15" t="s">
        <v>628</v>
      </c>
      <c r="E8" s="3" t="s">
        <v>629</v>
      </c>
      <c r="F8" s="3" t="s">
        <v>630</v>
      </c>
      <c r="G8" s="2" t="s">
        <v>631</v>
      </c>
      <c r="H8" s="16"/>
      <c r="I8" s="10"/>
      <c r="J8" s="17" t="s">
        <v>165</v>
      </c>
      <c r="K8" s="17" t="s">
        <v>499</v>
      </c>
      <c r="L8" s="17" t="s">
        <v>595</v>
      </c>
      <c r="M8" s="18"/>
      <c r="N8" s="17"/>
      <c r="O8" s="18"/>
      <c r="P8" s="18"/>
      <c r="Q8" s="16"/>
    </row>
    <row r="9" ht="71.25" spans="1:17">
      <c r="A9" s="2" t="s">
        <v>632</v>
      </c>
      <c r="B9" s="3" t="s">
        <v>475</v>
      </c>
      <c r="C9" s="3" t="s">
        <v>633</v>
      </c>
      <c r="D9" s="15" t="s">
        <v>634</v>
      </c>
      <c r="E9" s="3" t="s">
        <v>635</v>
      </c>
      <c r="F9" s="3" t="s">
        <v>636</v>
      </c>
      <c r="G9" s="15" t="s">
        <v>637</v>
      </c>
      <c r="H9" s="16"/>
      <c r="I9" s="10"/>
      <c r="J9" s="17" t="s">
        <v>165</v>
      </c>
      <c r="K9" s="17" t="s">
        <v>474</v>
      </c>
      <c r="L9" s="17" t="s">
        <v>595</v>
      </c>
      <c r="M9" s="18"/>
      <c r="N9" s="17"/>
      <c r="O9" s="18"/>
      <c r="P9" s="18"/>
      <c r="Q9" s="16"/>
    </row>
    <row r="10" ht="71.25" spans="1:17">
      <c r="A10" s="2" t="s">
        <v>638</v>
      </c>
      <c r="B10" s="3" t="s">
        <v>493</v>
      </c>
      <c r="C10" s="3" t="s">
        <v>639</v>
      </c>
      <c r="D10" s="15" t="s">
        <v>640</v>
      </c>
      <c r="E10" s="3" t="s">
        <v>641</v>
      </c>
      <c r="F10" s="3" t="s">
        <v>642</v>
      </c>
      <c r="G10" s="2" t="s">
        <v>643</v>
      </c>
      <c r="H10" s="16"/>
      <c r="I10" s="10"/>
      <c r="J10" s="17" t="s">
        <v>165</v>
      </c>
      <c r="K10" s="17" t="s">
        <v>494</v>
      </c>
      <c r="L10" s="17" t="s">
        <v>595</v>
      </c>
      <c r="M10" s="18"/>
      <c r="N10" s="17"/>
      <c r="O10" s="18"/>
      <c r="P10" s="18"/>
      <c r="Q10" s="1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Q10" etc:filterBottomFollowUsedRange="1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opLeftCell="A2" workbookViewId="0">
      <selection activeCell="B9" sqref="B9"/>
    </sheetView>
  </sheetViews>
  <sheetFormatPr defaultColWidth="9" defaultRowHeight="13.5" outlineLevelRow="7" outlineLevelCol="7"/>
  <cols>
    <col min="1" max="1" width="8.625" customWidth="1"/>
    <col min="2" max="2" width="17.25" customWidth="1"/>
    <col min="3" max="3" width="16.75" customWidth="1"/>
    <col min="4" max="4" width="23.125" customWidth="1"/>
    <col min="5" max="5" width="30.1666666666667" customWidth="1"/>
    <col min="6" max="6" width="20.1666666666667" customWidth="1"/>
    <col min="7" max="7" width="8.91666666666667" customWidth="1"/>
    <col min="8" max="8" width="11.875" customWidth="1"/>
  </cols>
  <sheetData>
    <row r="1" spans="1:8">
      <c r="A1" s="6" t="s">
        <v>644</v>
      </c>
      <c r="B1" s="6" t="s">
        <v>645</v>
      </c>
      <c r="C1" s="6" t="s">
        <v>646</v>
      </c>
      <c r="D1" s="6" t="s">
        <v>647</v>
      </c>
      <c r="E1" s="6" t="s">
        <v>648</v>
      </c>
      <c r="F1" s="6" t="s">
        <v>649</v>
      </c>
      <c r="G1" s="6" t="s">
        <v>650</v>
      </c>
      <c r="H1" s="6" t="s">
        <v>224</v>
      </c>
    </row>
    <row r="2" ht="57" spans="1:8">
      <c r="A2" s="7" t="s">
        <v>651</v>
      </c>
      <c r="B2" s="8" t="s">
        <v>652</v>
      </c>
      <c r="C2" s="8" t="s">
        <v>653</v>
      </c>
      <c r="D2" s="9" t="s">
        <v>654</v>
      </c>
      <c r="E2" s="8" t="s">
        <v>655</v>
      </c>
      <c r="F2" s="9" t="s">
        <v>656</v>
      </c>
      <c r="G2" s="10"/>
      <c r="H2" s="10"/>
    </row>
    <row r="3" ht="57" spans="1:8">
      <c r="A3" s="7" t="s">
        <v>657</v>
      </c>
      <c r="B3" s="8" t="s">
        <v>658</v>
      </c>
      <c r="C3" s="8" t="s">
        <v>659</v>
      </c>
      <c r="D3" s="9" t="s">
        <v>660</v>
      </c>
      <c r="E3" s="8" t="s">
        <v>661</v>
      </c>
      <c r="F3" s="9" t="s">
        <v>662</v>
      </c>
      <c r="G3" s="10"/>
      <c r="H3" s="10"/>
    </row>
    <row r="4" ht="57" spans="1:8">
      <c r="A4" s="7" t="s">
        <v>663</v>
      </c>
      <c r="B4" s="8" t="s">
        <v>664</v>
      </c>
      <c r="C4" s="8" t="s">
        <v>665</v>
      </c>
      <c r="D4" s="9" t="s">
        <v>666</v>
      </c>
      <c r="E4" s="8" t="s">
        <v>667</v>
      </c>
      <c r="F4" s="9" t="s">
        <v>668</v>
      </c>
      <c r="G4" s="10"/>
      <c r="H4" s="10"/>
    </row>
    <row r="5" ht="57" spans="1:8">
      <c r="A5" s="7" t="s">
        <v>669</v>
      </c>
      <c r="B5" s="8" t="s">
        <v>670</v>
      </c>
      <c r="C5" s="8" t="s">
        <v>671</v>
      </c>
      <c r="D5" s="9" t="s">
        <v>672</v>
      </c>
      <c r="E5" s="8" t="s">
        <v>673</v>
      </c>
      <c r="F5" s="9" t="s">
        <v>674</v>
      </c>
      <c r="G5" s="10"/>
      <c r="H5" s="10"/>
    </row>
    <row r="6" ht="57" spans="1:8">
      <c r="A6" s="7" t="s">
        <v>675</v>
      </c>
      <c r="B6" s="8" t="s">
        <v>676</v>
      </c>
      <c r="C6" s="8" t="s">
        <v>677</v>
      </c>
      <c r="D6" s="9" t="s">
        <v>678</v>
      </c>
      <c r="E6" s="8" t="s">
        <v>679</v>
      </c>
      <c r="F6" s="9" t="s">
        <v>680</v>
      </c>
      <c r="G6" s="10"/>
      <c r="H6" s="10"/>
    </row>
    <row r="7" ht="57" spans="1:8">
      <c r="A7" s="7" t="s">
        <v>681</v>
      </c>
      <c r="B7" s="8" t="s">
        <v>682</v>
      </c>
      <c r="C7" s="8" t="s">
        <v>683</v>
      </c>
      <c r="D7" s="9" t="s">
        <v>684</v>
      </c>
      <c r="E7" s="8" t="s">
        <v>685</v>
      </c>
      <c r="F7" s="9" t="s">
        <v>686</v>
      </c>
      <c r="G7" s="10"/>
      <c r="H7" s="10"/>
    </row>
    <row r="8" ht="57" spans="1:8">
      <c r="A8" s="7" t="s">
        <v>687</v>
      </c>
      <c r="B8" s="8" t="s">
        <v>688</v>
      </c>
      <c r="C8" s="8" t="s">
        <v>689</v>
      </c>
      <c r="D8" s="9" t="s">
        <v>690</v>
      </c>
      <c r="E8" s="8" t="s">
        <v>691</v>
      </c>
      <c r="F8" s="9" t="s">
        <v>692</v>
      </c>
      <c r="G8" s="10"/>
      <c r="H8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13.5"/>
  <cols>
    <col min="1" max="1" width="8.625" customWidth="1"/>
    <col min="2" max="2" width="16.125" customWidth="1"/>
    <col min="3" max="3" width="12" customWidth="1"/>
    <col min="4" max="4" width="15" customWidth="1"/>
    <col min="5" max="5" width="4.625" customWidth="1"/>
    <col min="6" max="6" width="6.625" customWidth="1"/>
    <col min="7" max="7" width="4.625" customWidth="1"/>
    <col min="8" max="8" width="9.29166666666667" customWidth="1"/>
    <col min="9" max="9" width="4.625" customWidth="1"/>
    <col min="10" max="10" width="6.625" customWidth="1"/>
  </cols>
  <sheetData>
    <row r="1" spans="1:10">
      <c r="A1" s="1" t="s">
        <v>571</v>
      </c>
      <c r="B1" s="1" t="s">
        <v>572</v>
      </c>
      <c r="C1" s="1" t="s">
        <v>693</v>
      </c>
      <c r="D1" s="1" t="s">
        <v>79</v>
      </c>
      <c r="E1" s="1" t="s">
        <v>85</v>
      </c>
      <c r="F1" s="1" t="s">
        <v>77</v>
      </c>
      <c r="G1" s="1" t="s">
        <v>75</v>
      </c>
      <c r="H1" s="1" t="s">
        <v>694</v>
      </c>
      <c r="I1" s="1" t="s">
        <v>71</v>
      </c>
      <c r="J1" s="1" t="s">
        <v>73</v>
      </c>
    </row>
    <row r="2" ht="14.25" spans="1:10">
      <c r="A2" s="2" t="s">
        <v>588</v>
      </c>
      <c r="B2" s="3" t="s">
        <v>451</v>
      </c>
      <c r="C2" s="4" t="s">
        <v>695</v>
      </c>
      <c r="D2" s="4" t="s">
        <v>695</v>
      </c>
      <c r="E2" s="4"/>
      <c r="F2" s="4"/>
      <c r="G2" s="4" t="s">
        <v>695</v>
      </c>
      <c r="H2" s="4"/>
      <c r="I2" s="4"/>
      <c r="J2" s="4" t="s">
        <v>695</v>
      </c>
    </row>
    <row r="3" ht="14.25" spans="1:10">
      <c r="A3" s="2" t="s">
        <v>596</v>
      </c>
      <c r="B3" s="3" t="s">
        <v>597</v>
      </c>
      <c r="C3" s="4" t="s">
        <v>695</v>
      </c>
      <c r="D3" s="4" t="s">
        <v>695</v>
      </c>
      <c r="E3" s="4"/>
      <c r="F3" s="4" t="s">
        <v>695</v>
      </c>
      <c r="G3" s="4"/>
      <c r="H3" s="4"/>
      <c r="I3" s="5" t="s">
        <v>695</v>
      </c>
      <c r="J3" s="4"/>
    </row>
    <row r="4" ht="14.25" spans="1:10">
      <c r="A4" s="2" t="s">
        <v>604</v>
      </c>
      <c r="B4" s="3" t="s">
        <v>605</v>
      </c>
      <c r="C4" s="4" t="s">
        <v>695</v>
      </c>
      <c r="D4" s="4"/>
      <c r="E4" s="5" t="s">
        <v>695</v>
      </c>
      <c r="F4" s="4" t="s">
        <v>695</v>
      </c>
      <c r="G4" s="4" t="s">
        <v>695</v>
      </c>
      <c r="H4" s="4"/>
      <c r="I4" s="4"/>
      <c r="J4" s="4"/>
    </row>
    <row r="5" ht="14.25" spans="1:10">
      <c r="A5" s="2" t="s">
        <v>612</v>
      </c>
      <c r="B5" s="3" t="s">
        <v>613</v>
      </c>
      <c r="C5" s="4" t="s">
        <v>695</v>
      </c>
      <c r="D5" s="4"/>
      <c r="E5" s="5" t="s">
        <v>695</v>
      </c>
      <c r="F5" s="4" t="s">
        <v>695</v>
      </c>
      <c r="G5" s="4"/>
      <c r="H5" s="5" t="s">
        <v>695</v>
      </c>
      <c r="I5" s="4"/>
      <c r="J5" s="4"/>
    </row>
    <row r="6" ht="14.25" spans="1:10">
      <c r="A6" s="2" t="s">
        <v>620</v>
      </c>
      <c r="B6" s="3" t="s">
        <v>479</v>
      </c>
      <c r="C6" s="4" t="s">
        <v>695</v>
      </c>
      <c r="D6" s="4"/>
      <c r="E6" s="5" t="s">
        <v>695</v>
      </c>
      <c r="F6" s="4"/>
      <c r="G6" s="5" t="s">
        <v>695</v>
      </c>
      <c r="H6" s="5"/>
      <c r="I6" s="4"/>
      <c r="J6" s="4"/>
    </row>
    <row r="7" ht="14.25" spans="1:10">
      <c r="A7" s="2" t="s">
        <v>626</v>
      </c>
      <c r="B7" s="3" t="s">
        <v>498</v>
      </c>
      <c r="C7" s="4" t="s">
        <v>695</v>
      </c>
      <c r="D7" s="4"/>
      <c r="E7" s="5" t="s">
        <v>695</v>
      </c>
      <c r="F7" s="4"/>
      <c r="G7" s="5" t="s">
        <v>695</v>
      </c>
      <c r="H7" s="5"/>
      <c r="I7" s="4"/>
      <c r="J7" s="4"/>
    </row>
    <row r="8" ht="14.25" spans="1:10">
      <c r="A8" s="2" t="s">
        <v>632</v>
      </c>
      <c r="B8" s="3" t="s">
        <v>475</v>
      </c>
      <c r="C8" s="4" t="s">
        <v>695</v>
      </c>
      <c r="D8" s="4"/>
      <c r="E8" s="5" t="s">
        <v>695</v>
      </c>
      <c r="F8" s="4"/>
      <c r="G8" s="5" t="s">
        <v>695</v>
      </c>
      <c r="H8" s="5" t="s">
        <v>695</v>
      </c>
      <c r="I8" s="4"/>
      <c r="J8" s="4"/>
    </row>
    <row r="9" ht="14.25" spans="1:10">
      <c r="A9" s="2" t="s">
        <v>638</v>
      </c>
      <c r="B9" s="3" t="s">
        <v>493</v>
      </c>
      <c r="C9" s="4" t="s">
        <v>695</v>
      </c>
      <c r="D9" s="4"/>
      <c r="E9" s="5" t="s">
        <v>695</v>
      </c>
      <c r="F9" s="4"/>
      <c r="G9" s="5" t="s">
        <v>695</v>
      </c>
      <c r="H9" s="5" t="s">
        <v>695</v>
      </c>
      <c r="I9" s="4"/>
      <c r="J9" s="4"/>
    </row>
    <row r="10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4"/>
      <c r="D47" s="4"/>
      <c r="E47" s="4"/>
      <c r="F47" s="4"/>
      <c r="G47" s="4"/>
      <c r="H47" s="4"/>
      <c r="I47" s="4"/>
      <c r="J47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8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</woSheetsProps>
  <woBookProps>
    <bookSettings fileId="514459568778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8"/>
  <pixelatorList sheetStid="16"/>
  <pixelatorList sheetStid="1"/>
  <pixelatorList sheetStid="2"/>
  <pixelatorList sheetStid="4"/>
  <pixelatorList sheetStid="6"/>
  <pixelatorList sheetStid="7"/>
  <pixelatorList sheetStid="3"/>
  <pixelatorList sheetStid="14"/>
  <pixelatorList sheetStid="10"/>
  <pixelatorList sheetStid="13"/>
  <pixelatorList sheetStid="11"/>
  <pixelatorList sheetStid="1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问题记录</vt:lpstr>
      <vt:lpstr>建模总结</vt:lpstr>
      <vt:lpstr>术语</vt:lpstr>
      <vt:lpstr>业务规则</vt:lpstr>
      <vt:lpstr>业务对象（对象类型）</vt:lpstr>
      <vt:lpstr>业务属性（属性）</vt:lpstr>
      <vt:lpstr>实体关系(链接类型)</vt:lpstr>
      <vt:lpstr>活动</vt:lpstr>
      <vt:lpstr>行动类型</vt:lpstr>
      <vt:lpstr>指标</vt:lpstr>
      <vt:lpstr>维度</vt:lpstr>
      <vt:lpstr>指标维度矩阵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chengcong deng</cp:lastModifiedBy>
  <dcterms:created xsi:type="dcterms:W3CDTF">2026-04-24T07:13:00Z</dcterms:created>
  <dcterms:modified xsi:type="dcterms:W3CDTF">2026-04-24T07:55:00Z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2052-12.9.0.25970</vt:lpwstr>
  </property>
  <property fmtid="{D5CDD505-2E9C-101B-9397-08002B2CF9AE}" pid="3" name="CalculationRule">
    <vt:i4>0</vt:i4>
  </property>
</Properties>
</file>